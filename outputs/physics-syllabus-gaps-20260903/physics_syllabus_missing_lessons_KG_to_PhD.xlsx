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fe3b1fc75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99ad9e843a4988"/>
    <x:sheet xmlns:r="http://schemas.openxmlformats.org/officeDocument/2006/relationships" name="Missing Lessons" sheetId="2" r:id="R3e3c76c3facd4edb"/>
    <x:sheet xmlns:r="http://schemas.openxmlformats.org/officeDocument/2006/relationships" name="Framework Matrix" sheetId="3" r:id="R7c1b6c518db7400e"/>
    <x:sheet xmlns:r="http://schemas.openxmlformats.org/officeDocument/2006/relationships" name="Existing 80" sheetId="4" r:id="Rf8beebe875e74d47"/>
    <x:sheet xmlns:r="http://schemas.openxmlformats.org/officeDocument/2006/relationships" name="Sources &amp; Scope" sheetId="5" r:id="R02f7259bf519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18"/>
      <x:color rgb="FFFFFFFF"/>
      <x:name val="Aptos"/>
    </x:font>
    <x:font>
      <x:i/>
      <x:sz val="10"/>
      <x:color rgb="FF64748B"/>
      <x:name val="Aptos"/>
    </x:font>
    <x:font>
      <x:sz val="11"/>
      <x:name val="Aptos"/>
    </x:font>
    <x:font>
      <x:b/>
      <x:sz val="11"/>
      <x:color rgb="FFFFFFFF"/>
      <x:name val="Aptos"/>
    </x:font>
    <x:font>
      <x:sz val="9"/>
      <x:color rgb="FF1F2937"/>
      <x:name val="Aptos"/>
    </x:font>
    <x:font>
      <x:b/>
      <x:sz val="11"/>
      <x:color rgb="FF13213C"/>
      <x:name val="Carlito"/>
    </x:font>
    <x:font>
      <x:b/>
      <x:sz val="11"/>
      <x:color rgb="FF13213C"/>
      <x:name val="Aptos"/>
    </x:font>
    <x:font>
      <x:i/>
      <x:sz val="11"/>
      <x:color rgb="FF1F2937"/>
      <x:name val="Carlito"/>
    </x:font>
    <x:font>
      <x:b/>
      <x:sz val="12"/>
      <x:color rgb="FF13213C"/>
      <x:name val="Carlito"/>
    </x:font>
    <x:font>
      <x:b/>
      <x:sz val="14"/>
      <x:color rgb="FF13213C"/>
      <x:name val="Carlito"/>
    </x:font>
    <x:font>
      <x:i/>
      <x:sz val="11"/>
      <x:color rgb="FF64748B"/>
      <x:name val="Carlito"/>
    </x:font>
    <x:font>
      <x:b/>
      <x:sz val="12"/>
      <x:color rgb="FF13213C"/>
      <x:name val="Aptos"/>
    </x:font>
    <x:font>
      <x:b/>
      <x:sz val="14"/>
      <x:color rgb="FF13213C"/>
      <x:name val="Aptos"/>
    </x:font>
    <x:font>
      <x:i/>
      <x:sz val="11"/>
      <x:color rgb="FF64748B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3213C"/>
      </x:patternFill>
    </x:fill>
    <x:fill>
      <x:patternFill patternType="solid">
        <x:fgColor rgb="FFEAF1FB"/>
      </x:patternFill>
    </x:fill>
    <x:fill>
      <x:patternFill patternType="solid">
        <x:fgColor rgb="FF2155A6"/>
      </x:patternFill>
    </x:fill>
    <x:fill>
      <x:patternFill patternType="solid">
        <x:fgColor rgb="FFFFF4D6"/>
      </x:patternFill>
    </x:fill>
    <x:fill>
      <x:patternFill patternType="solid">
        <x:fgColor rgb="FFF5B942"/>
      </x:patternFill>
    </x:fill>
  </x:fills>
  <x:borders count="4">
    <x:border/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200" fontId="9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4" borderId="3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10" fillId="5" borderId="3" xfId="0" applyNumberFormat="1" applyFont="1" applyFill="1" applyBorder="1" applyAlignment="1">
      <x:alignment vertical="top" wrapText="1"/>
    </x:xf>
    <x:xf numFmtId="200" fontId="10" fillId="5" borderId="3" xfId="0" applyNumberFormat="1" applyFont="1" applyFill="1" applyBorder="1" applyAlignment="1">
      <x:alignment vertical="top" wrapText="1"/>
    </x:xf>
    <x:xf numFmtId="200" fontId="10" fillId="5" borderId="3" xfId="0" applyNumberFormat="1" applyFont="1" applyFill="1" applyBorder="1" applyAlignment="1">
      <x:alignment horizontal="right" vertical="top" wrapText="1"/>
    </x:xf>
    <x:xf numFmtId="0" fontId="8" fillId="4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top" wrapText="1"/>
    </x:xf>
    <x:xf numFmtId="200" fontId="11" fillId="5" borderId="3" xfId="0" applyNumberFormat="1" applyFont="1" applyFill="1" applyBorder="1" applyAlignment="1">
      <x:alignment horizontal="right" vertical="top" wrapText="1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0" fillId="5" borderId="3" xfId="0" applyNumberFormat="1" applyFont="1" applyFill="1" applyBorder="1"/>
    <x:xf numFmtId="0" fontId="14" fillId="5" borderId="3" xfId="0" applyNumberFormat="1" applyFont="1" applyFill="1" applyBorder="1"/>
    <x:xf numFmtId="200" fontId="14" fillId="5" borderId="3" xfId="0" applyNumberFormat="1" applyFont="1" applyFill="1" applyBorder="1"/>
    <x:xf numFmtId="200" fontId="14" fillId="5" borderId="3" xfId="0" applyNumberFormat="1" applyFont="1" applyFill="1" applyBorder="1" applyAlignment="1">
      <x:alignment horizontal="right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16" fillId="6" borderId="0" xfId="0" applyNumberFormat="1" applyFont="1" applyFill="1" applyBorder="1"/>
    <x:xf numFmtId="0" fontId="8" fillId="4" borderId="3" xfId="0" applyNumberFormat="1" applyFont="1" applyFill="1" applyBorder="1"/>
    <x:xf numFmtId="0" fontId="7" fillId="0" borderId="3" xfId="0" applyNumberFormat="1" applyFont="1" applyFill="1" applyBorder="1"/>
    <x:xf numFmtId="200" fontId="17" fillId="5" borderId="3" xfId="0" applyNumberFormat="1" applyFont="1" applyFill="1" applyBorder="1" applyAlignment="1">
      <x:alignment horizontal="right"/>
    </x:xf>
    <x:xf numFmtId="0" fontId="18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b95c83ada4b58" /><Relationship Type="http://schemas.openxmlformats.org/officeDocument/2006/relationships/theme" Target="/xl/theme/theme1.xml" Id="R39ff0ced14274151" /><Relationship Type="http://schemas.openxmlformats.org/officeDocument/2006/relationships/sharedStrings" Target="/xl/sharedStrings.xml" Id="R52418c63d4d549b5" /><Relationship Type="http://schemas.openxmlformats.org/officeDocument/2006/relationships/worksheet" Target="/xl/worksheets/sheet1.xml" Id="R6199ad9e843a4988" /><Relationship Type="http://schemas.openxmlformats.org/officeDocument/2006/relationships/worksheet" Target="/xl/worksheets/sheet2.xml" Id="R3e3c76c3facd4edb" /><Relationship Type="http://schemas.openxmlformats.org/officeDocument/2006/relationships/worksheet" Target="/xl/worksheets/sheet3.xml" Id="R7c1b6c518db7400e" /><Relationship Type="http://schemas.openxmlformats.org/officeDocument/2006/relationships/worksheet" Target="/xl/worksheets/sheet4.xml" Id="Rf8beebe875e74d47" /><Relationship Type="http://schemas.openxmlformats.org/officeDocument/2006/relationships/worksheet" Target="/xl/worksheets/sheet5.xml" Id="R02f7259bf51949e8" /></Relationships>
</file>

<file path=xl/tables/table1.xml><?xml version="1.0" encoding="utf-8"?>
<x:table xmlns:x="http://schemas.openxmlformats.org/spreadsheetml/2006/main" id="1" name="MissingLessonsTable" displayName="MissingLessonsTable" ref="A4:O152" headerRowCount="1" totalsRowCount="0" totalsRowShown="0">
  <x:autoFilter ref="A4:O152"/>
  <x:tableColumns count="15">
    <x:tableColumn id="1" name="Lesson ID"/>
    <x:tableColumn id="2" name="Stage"/>
    <x:tableColumn id="3" name="Level"/>
    <x:tableColumn id="4" name="Board / Framework Applicability"/>
    <x:tableColumn id="5" name="Category"/>
    <x:tableColumn id="6" name="Subcategory"/>
    <x:tableColumn id="7" name="Missing Lesson"/>
    <x:tableColumn id="8" name="Core Concepts"/>
    <x:tableColumn id="9" name="Suggested Lab / Simulation"/>
    <x:tableColumn id="10" name="Coverage"/>
    <x:tableColumn id="11" name="Nearest Existing Lesson ID(s)"/>
    <x:tableColumn id="12" name="Priority"/>
    <x:tableColumn id="13" name="Evidence Source"/>
    <x:tableColumn id="14" name="Source URL"/>
    <x:tableColumn id="15" name="Scop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istingLessonsTable" displayName="ExistingLessonsTable" ref="A4:H84" headerRowCount="1" totalsRowCount="0" totalsRowShown="0">
  <x:autoFilter ref="A4:H84"/>
  <x:tableColumns count="8">
    <x:tableColumn id="1" name="Lesson ID"/>
    <x:tableColumn id="2" name="Category"/>
    <x:tableColumn id="3" name="Lesson"/>
    <x:tableColumn id="4" name="Lesson Code"/>
    <x:tableColumn id="5" name="Class Level"/>
    <x:tableColumn id="6" name="Difficulty"/>
    <x:tableColumn id="7" name="Mapped Unit(s)"/>
    <x:tableColumn id="8" name="Mapped Topic(s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4:D16" headerRowCount="1" totalsRowCount="0" totalsRowShown="0">
  <x:autoFilter ref="A4:D16"/>
  <x:tableColumns count="4">
    <x:tableColumn id="1" name="Source"/>
    <x:tableColumn id="2" name="URL"/>
    <x:tableColumn id="3" name="Type"/>
    <x:tableColumn id="4" name="Acces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3e13bf4cc24d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2331c38c1d948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28acdc7f2314b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4" hidden="0" customWidth="1"/>
    <x:col min="4" max="4" width="22" hidden="0" customWidth="1"/>
    <x:col min="5" max="5" width="30" hidden="0" customWidth="1"/>
    <x:col min="6" max="6" width="34" hidden="0" customWidth="1"/>
    <x:col min="7" max="7" width="12" hidden="0" customWidth="1"/>
    <x:col min="8" max="8" width="46" hidden="0" customWidth="1"/>
  </x:cols>
  <x:sheetData>
    <x:row r="1" ht="32" customHeight="1">
      <x:c r="A1" s="17" t="str">
        <x:v>Physics Syllabus — Missing Lesson Inventory</x:v>
      </x:c>
      <x:c r="B1" s="17"/>
      <x:c r="C1" s="17"/>
      <x:c r="D1" s="17"/>
      <x:c r="E1" s="17"/>
      <x:c r="F1" s="17"/>
      <x:c r="G1" s="17"/>
      <x:c r="H1" s="17"/>
    </x:row>
    <x:row r="2" ht="32" customHeight="1">
      <x:c r="A2" s="18" t="str">
        <x:v>Gap analysis against the existing 80 Physics Simulator lessons; new numeric Lesson IDs continue from 81.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48" t="str">
        <x:v>Inventory at a glance</x:v>
      </x:c>
      <x:c r="B4" s="48"/>
      <x:c r="C4" s="48"/>
      <x:c r="D4" s="48"/>
      <x:c r="E4" s="48"/>
      <x:c r="F4" s="48"/>
      <x:c r="G4" s="48"/>
      <x:c r="H4" s="48"/>
    </x:row>
    <x:row r="5">
      <x:c r="A5" s="19"/>
      <x:c r="B5" s="19"/>
      <x:c r="C5" s="19"/>
      <x:c r="D5" s="19"/>
      <x:c r="E5" s="19"/>
      <x:c r="F5" s="19"/>
      <x:c r="G5" s="19"/>
      <x:c r="H5" s="19"/>
    </x:row>
    <x:row r="6">
      <x:c r="A6" s="49" t="str">
        <x:v>Metric</x:v>
      </x:c>
      <x:c r="B6" s="49" t="str">
        <x:v>Value</x:v>
      </x:c>
      <x:c r="C6" s="19"/>
      <x:c r="D6" s="33" t="str">
        <x:v>Sheet</x:v>
      </x:c>
      <x:c r="E6" s="33" t="str">
        <x:v>Purpose</x:v>
      </x:c>
      <x:c r="F6" s="33" t="str">
        <x:v>Best use</x:v>
      </x:c>
      <x:c r="G6" s="33" t="str">
        <x:v>Rows</x:v>
      </x:c>
      <x:c r="H6" s="33" t="str">
        <x:v>Important note</x:v>
      </x:c>
    </x:row>
    <x:row r="7">
      <x:c r="A7" s="50" t="str">
        <x:v>Existing lessons</x:v>
      </x:c>
      <x:c r="B7" s="51" t="n">
        <x:f>COUNTA('Existing 80'!$C$5:$C$84)</x:f>
        <x:v>80</x:v>
      </x:c>
      <x:c r="C7" s="19"/>
      <x:c r="D7" s="50" t="str">
        <x:v>Missing Lessons</x:v>
      </x:c>
      <x:c r="E7" s="50" t="str">
        <x:v>Master proposed lesson list</x:v>
      </x:c>
      <x:c r="F7" s="50" t="str">
        <x:v>Filter by stage, board, category or priority</x:v>
      </x:c>
      <x:c r="G7" s="50" t="n">
        <x:v>148</x:v>
      </x:c>
      <x:c r="H7" s="50" t="str">
        <x:v>IDs continue after the existing 80</x:v>
      </x:c>
    </x:row>
    <x:row r="8">
      <x:c r="A8" s="50" t="str">
        <x:v>Proposed missing/partial lessons</x:v>
      </x:c>
      <x:c r="B8" s="51" t="n">
        <x:f>COUNTA('Missing Lessons'!$G$5:$G$152)</x:f>
        <x:v>148</x:v>
      </x:c>
      <x:c r="C8" s="19"/>
      <x:c r="D8" s="50" t="str">
        <x:v>Framework Matrix</x:v>
      </x:c>
      <x:c r="E8" s="50" t="str">
        <x:v>Stage-level totals</x:v>
      </x:c>
      <x:c r="F8" s="50" t="str">
        <x:v>Estimate roadmap size</x:v>
      </x:c>
      <x:c r="G8" s="50" t="n">
        <x:v>8</x:v>
      </x:c>
      <x:c r="H8" s="50" t="str">
        <x:v>Counts are formulas</x:v>
      </x:c>
    </x:row>
    <x:row r="9">
      <x:c r="A9" s="50" t="str">
        <x:v>Next Lesson ID</x:v>
      </x:c>
      <x:c r="B9" s="51" t="n">
        <x:f>MIN('Missing Lessons'!$A$5:$A$152)</x:f>
        <x:v>81</x:v>
      </x:c>
      <x:c r="C9" s="19"/>
      <x:c r="D9" s="50" t="str">
        <x:v>Existing 80</x:v>
      </x:c>
      <x:c r="E9" s="50" t="str">
        <x:v>Audit baseline</x:v>
      </x:c>
      <x:c r="F9" s="50" t="str">
        <x:v>See nearby/current lessons</x:v>
      </x:c>
      <x:c r="G9" s="50" t="n">
        <x:v>80</x:v>
      </x:c>
      <x:c r="H9" s="50" t="str">
        <x:v>Preserves IDs 1–80</x:v>
      </x:c>
    </x:row>
    <x:row r="10">
      <x:c r="A10" s="50" t="str">
        <x:v>Last proposed Lesson ID</x:v>
      </x:c>
      <x:c r="B10" s="51" t="n">
        <x:f>MAX('Missing Lessons'!$A$5:$A$152)</x:f>
        <x:v>228</x:v>
      </x:c>
      <x:c r="C10" s="19"/>
      <x:c r="D10" s="50" t="str">
        <x:v>Sources &amp; Scope</x:v>
      </x:c>
      <x:c r="E10" s="50" t="str">
        <x:v>Evidence and limitations</x:v>
      </x:c>
      <x:c r="F10" s="50" t="str">
        <x:v>Validate curriculum provenance</x:v>
      </x:c>
      <x:c r="G10" s="50" t="n">
        <x:v>12</x:v>
      </x:c>
      <x:c r="H10" s="50" t="str">
        <x:v>Official sources only</x:v>
      </x:c>
    </x:row>
    <x:row r="11">
      <x:c r="A11" s="50" t="str">
        <x:v>Fully missing</x:v>
      </x:c>
      <x:c r="B11" s="51" t="n">
        <x:f>COUNTIF('Missing Lessons'!$J$5:$J$152,"Missing")</x:f>
        <x:v>22</x:v>
      </x:c>
      <x:c r="C11" s="19"/>
      <x:c r="D11" s="50" t="str">
        <x:v>Summary</x:v>
      </x:c>
      <x:c r="E11" s="50" t="str">
        <x:v>Workbook overview</x:v>
      </x:c>
      <x:c r="F11" s="50" t="str">
        <x:v>Start here</x:v>
      </x:c>
      <x:c r="G11" s="50" t="n">
        <x:v>1</x:v>
      </x:c>
      <x:c r="H11" s="50" t="str">
        <x:v>India-focused normalized coverage</x:v>
      </x:c>
    </x:row>
    <x:row r="12">
      <x:c r="A12" s="50" t="str">
        <x:v>Partially covered</x:v>
      </x:c>
      <x:c r="B12" s="51" t="n">
        <x:f>COUNTIF('Missing Lessons'!$J$5:$J$152,"Partial")</x:f>
        <x:v>126</x:v>
      </x:c>
      <x:c r="C12" s="19"/>
      <x:c r="D12" s="19"/>
      <x:c r="E12" s="19"/>
      <x:c r="F12" s="19"/>
      <x:c r="G12" s="19"/>
      <x:c r="H12" s="19"/>
    </x:row>
    <x:row r="13">
      <x:c r="A13" s="19"/>
      <x:c r="B13" s="19"/>
      <x:c r="C13" s="19"/>
      <x:c r="D13" s="19"/>
      <x:c r="E13" s="19"/>
      <x:c r="F13" s="19"/>
      <x:c r="G13" s="19"/>
      <x:c r="H13" s="19"/>
    </x:row>
    <x:row r="14" ht="42" customHeight="1">
      <x:c r="A14" s="52" t="str">
        <x:v>Interpretation: “Missing” means no direct simulator lesson was found. “Partial” means the catalog has a nearby lesson but lacks the proposed syllabus-specific scope, derivation, application, practical, or level progression.</x:v>
      </x:c>
      <x:c r="B14" s="52"/>
      <x:c r="C14" s="52"/>
      <x:c r="D14" s="52"/>
      <x:c r="E14" s="52"/>
      <x:c r="F14" s="52"/>
      <x:c r="G14" s="52"/>
      <x:c r="H14" s="52"/>
    </x:row>
  </x:sheetData>
  <x:mergeCells>
    <x:mergeCell ref="A1:H1"/>
    <x:mergeCell ref="A2:H2"/>
    <x:mergeCell ref="A4:H4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18" hidden="0" customWidth="1"/>
    <x:col min="4" max="4" width="36" hidden="0" customWidth="1"/>
    <x:col min="5" max="5" width="20" hidden="0" customWidth="1"/>
    <x:col min="6" max="6" width="27" hidden="0" customWidth="1"/>
    <x:col min="7" max="7" width="36" hidden="0" customWidth="1"/>
    <x:col min="8" max="8" width="46" hidden="0" customWidth="1"/>
    <x:col min="9" max="9" width="44" hidden="0" customWidth="1"/>
    <x:col min="10" max="10" width="12" hidden="0" customWidth="1"/>
    <x:col min="11" max="11" width="42" hidden="0" customWidth="1"/>
    <x:col min="12" max="12" width="12" hidden="0" customWidth="1"/>
    <x:col min="13" max="13" width="38" hidden="0" customWidth="1"/>
    <x:col min="14" max="14" width="55" hidden="0" customWidth="1"/>
    <x:col min="15" max="15" width="48" hidden="0" customWidth="1"/>
  </x:cols>
  <x:sheetData>
    <x:row r="1" ht="32" customHeight="1">
      <x:c r="A1" s="17" t="str">
        <x:v>Missing Lessons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 ht="32" customHeight="1">
      <x:c r="A2" s="18" t="str">
        <x:v>India-focused normalized physics gap register, continuing numeric IDs after the existing 80 lessons.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</x:row>
    <x:row r="4" ht="36" customHeight="1">
      <x:c r="A4" s="20" t="str">
        <x:v>Lesson ID</x:v>
      </x:c>
      <x:c r="B4" s="20" t="str">
        <x:v>Stage</x:v>
      </x:c>
      <x:c r="C4" s="20" t="str">
        <x:v>Level</x:v>
      </x:c>
      <x:c r="D4" s="20" t="str">
        <x:v>Board / Framework Applicability</x:v>
      </x:c>
      <x:c r="E4" s="20" t="str">
        <x:v>Category</x:v>
      </x:c>
      <x:c r="F4" s="20" t="str">
        <x:v>Subcategory</x:v>
      </x:c>
      <x:c r="G4" s="20" t="str">
        <x:v>Missing Lesson</x:v>
      </x:c>
      <x:c r="H4" s="20" t="str">
        <x:v>Core Concepts</x:v>
      </x:c>
      <x:c r="I4" s="20" t="str">
        <x:v>Suggested Lab / Simulation</x:v>
      </x:c>
      <x:c r="J4" s="20" t="str">
        <x:v>Coverage</x:v>
      </x:c>
      <x:c r="K4" s="20" t="str">
        <x:v>Nearest Existing Lesson ID(s)</x:v>
      </x:c>
      <x:c r="L4" s="20" t="str">
        <x:v>Priority</x:v>
      </x:c>
      <x:c r="M4" s="20" t="str">
        <x:v>Evidence Source</x:v>
      </x:c>
      <x:c r="N4" s="20" t="str">
        <x:v>Source URL</x:v>
      </x:c>
      <x:c r="O4" s="20" t="str">
        <x:v>Scope Note</x:v>
      </x:c>
    </x:row>
    <x:row r="5">
      <x:c r="A5" s="22" t="n">
        <x:v>81</x:v>
      </x:c>
      <x:c r="B5" s="21" t="str">
        <x:v>Foundational</x:v>
      </x:c>
      <x:c r="C5" s="21" t="str">
        <x:v>KG–Grade 2</x:v>
      </x:c>
      <x:c r="D5" s="21" t="str">
        <x:v>NCF-FS; CBSE/CISCE/State foundational programmes</x:v>
      </x:c>
      <x:c r="E5" s="21" t="str">
        <x:v>Mechanics</x:v>
      </x:c>
      <x:c r="F5" s="21" t="str">
        <x:v>Everyday motion</x:v>
      </x:c>
      <x:c r="G5" s="21" t="str">
        <x:v>Push, Pull, Roll and Slide</x:v>
      </x:c>
      <x:c r="H5" s="21" t="str">
        <x:v>push/pull; start/stop; roll/slide; direction</x:v>
      </x:c>
      <x:c r="I5" s="21" t="str">
        <x:v>Toy-ramp and object-motion sorting lab</x:v>
      </x:c>
      <x:c r="J5" s="21" t="str">
        <x:v>Partial</x:v>
      </x:c>
      <x:c r="K5" s="21" t="str">
        <x:v>31: Balanced and Unbalanced Forces</x:v>
      </x:c>
      <x:c r="L5" s="21" t="str">
        <x:v>High</x:v>
      </x:c>
      <x:c r="M5" s="21" t="str">
        <x:v>NCERT NCF Foundational Stage 2022</x:v>
      </x:c>
      <x:c r="N5" s="21" t="str">
        <x:v>https://www.ncert.nic.in/pdf/NCF_for_Foundational_Stage_20_October_2022.pdf</x:v>
      </x:c>
      <x:c r="O5" s="21" t="str">
        <x:v>Normalized gap: confirm exact placement against the adopting board/university's latest detailed syllabus.</x:v>
      </x:c>
    </x:row>
    <x:row r="6">
      <x:c r="A6" s="22" t="n">
        <x:v>82</x:v>
      </x:c>
      <x:c r="B6" s="21" t="str">
        <x:v>Foundational</x:v>
      </x:c>
      <x:c r="C6" s="21" t="str">
        <x:v>KG–Grade 2</x:v>
      </x:c>
      <x:c r="D6" s="21" t="str">
        <x:v>NCF-FS; CBSE/CISCE/State foundational programmes</x:v>
      </x:c>
      <x:c r="E6" s="21" t="str">
        <x:v>Measurement</x:v>
      </x:c>
      <x:c r="F6" s="21" t="str">
        <x:v>Motion language</x:v>
      </x:c>
      <x:c r="G6" s="21" t="str">
        <x:v>Fast, Slow, Near and Far</x:v>
      </x:c>
      <x:c r="H6" s="21" t="str">
        <x:v>relative speed; distance language; observation</x:v>
      </x:c>
      <x:c r="I6" s="21" t="str">
        <x:v>Timed toy-car race with floor markers</x:v>
      </x:c>
      <x:c r="J6" s="21" t="str">
        <x:v>Partial</x:v>
      </x:c>
      <x:c r="K6" s="21" t="str">
        <x:v>45: Uniform Motion</x:v>
      </x:c>
      <x:c r="L6" s="21" t="str">
        <x:v>High</x:v>
      </x:c>
      <x:c r="M6" s="21" t="str">
        <x:v>NCERT NCF Foundational Stage 2022</x:v>
      </x:c>
      <x:c r="N6" s="21" t="str">
        <x:v>https://www.ncert.nic.in/pdf/NCF_for_Foundational_Stage_20_October_2022.pdf</x:v>
      </x:c>
      <x:c r="O6" s="21" t="str">
        <x:v>Normalized gap: confirm exact placement against the adopting board/university's latest detailed syllabus.</x:v>
      </x:c>
    </x:row>
    <x:row r="7">
      <x:c r="A7" s="22" t="n">
        <x:v>83</x:v>
      </x:c>
      <x:c r="B7" s="21" t="str">
        <x:v>Foundational</x:v>
      </x:c>
      <x:c r="C7" s="21" t="str">
        <x:v>KG–Grade 2</x:v>
      </x:c>
      <x:c r="D7" s="21" t="str">
        <x:v>NCF-FS; CBSE/CISCE/State foundational programmes</x:v>
      </x:c>
      <x:c r="E7" s="21" t="str">
        <x:v>Measurement</x:v>
      </x:c>
      <x:c r="F7" s="21" t="str">
        <x:v>Comparing quantities</x:v>
      </x:c>
      <x:c r="G7" s="21" t="str">
        <x:v>Heavy, Light and Balance</x:v>
      </x:c>
      <x:c r="H7" s="21" t="str">
        <x:v>qualitative mass; balance; comparison</x:v>
      </x:c>
      <x:c r="I7" s="21" t="str">
        <x:v>Pan-balance play station</x:v>
      </x:c>
      <x:c r="J7" s="21" t="str">
        <x:v>Partial</x:v>
      </x:c>
      <x:c r="K7" s="21" t="str">
        <x:v>40: Mass and Weight</x:v>
      </x:c>
      <x:c r="L7" s="21" t="str">
        <x:v>High</x:v>
      </x:c>
      <x:c r="M7" s="21" t="str">
        <x:v>NCERT NCF Foundational Stage 2022</x:v>
      </x:c>
      <x:c r="N7" s="21" t="str">
        <x:v>https://www.ncert.nic.in/pdf/NCF_for_Foundational_Stage_20_October_2022.pdf</x:v>
      </x:c>
      <x:c r="O7" s="21" t="str">
        <x:v>Normalized gap: confirm exact placement against the adopting board/university's latest detailed syllabus.</x:v>
      </x:c>
    </x:row>
    <x:row r="8">
      <x:c r="A8" s="22" t="n">
        <x:v>84</x:v>
      </x:c>
      <x:c r="B8" s="21" t="str">
        <x:v>Foundational</x:v>
      </x:c>
      <x:c r="C8" s="21" t="str">
        <x:v>KG–Grade 2</x:v>
      </x:c>
      <x:c r="D8" s="21" t="str">
        <x:v>NCF-FS; CBSE/CISCE/State foundational programmes</x:v>
      </x:c>
      <x:c r="E8" s="21" t="str">
        <x:v>Thermodynamics</x:v>
      </x:c>
      <x:c r="F8" s="21" t="str">
        <x:v>Senses and temperature</x:v>
      </x:c>
      <x:c r="G8" s="21" t="str">
        <x:v>Hot, Warm and Cold by Safe Observation</x:v>
      </x:c>
      <x:c r="H8" s="21" t="str">
        <x:v>temperature language; safe sensing; comparison</x:v>
      </x:c>
      <x:c r="I8" s="21" t="str">
        <x:v>Warm/cool water comparison with teacher-safe thermometer</x:v>
      </x:c>
      <x:c r="J8" s="21" t="str">
        <x:v>Partial</x:v>
      </x:c>
      <x:c r="K8" s="21" t="str">
        <x:v>67: Heat and Temperature</x:v>
      </x:c>
      <x:c r="L8" s="21" t="str">
        <x:v>High</x:v>
      </x:c>
      <x:c r="M8" s="21" t="str">
        <x:v>NCERT NCF Foundational Stage 2022</x:v>
      </x:c>
      <x:c r="N8" s="21" t="str">
        <x:v>https://www.ncert.nic.in/pdf/NCF_for_Foundational_Stage_20_October_2022.pdf</x:v>
      </x:c>
      <x:c r="O8" s="21" t="str">
        <x:v>Normalized gap: confirm exact placement against the adopting board/university's latest detailed syllabus.</x:v>
      </x:c>
    </x:row>
    <x:row r="9">
      <x:c r="A9" s="22" t="n">
        <x:v>85</x:v>
      </x:c>
      <x:c r="B9" s="21" t="str">
        <x:v>Foundational</x:v>
      </x:c>
      <x:c r="C9" s="21" t="str">
        <x:v>KG–Grade 2</x:v>
      </x:c>
      <x:c r="D9" s="21" t="str">
        <x:v>NCF-FS; CBSE/CISCE/State foundational programmes</x:v>
      </x:c>
      <x:c r="E9" s="21" t="str">
        <x:v>Optics</x:v>
      </x:c>
      <x:c r="F9" s="21" t="str">
        <x:v>Light around us</x:v>
      </x:c>
      <x:c r="G9" s="21" t="str">
        <x:v>Light Sources and Darkness</x:v>
      </x:c>
      <x:c r="H9" s="21" t="str">
        <x:v>natural/artificial sources; darkness; visibility</x:v>
      </x:c>
      <x:c r="I9" s="21" t="str">
        <x:v>Dark-box light-source exploration</x:v>
      </x:c>
      <x:c r="J9" s="21" t="str">
        <x:v>Partial</x:v>
      </x:c>
      <x:c r="K9" s="21" t="str">
        <x:v>62: Shadows and Eclipses</x:v>
      </x:c>
      <x:c r="L9" s="21" t="str">
        <x:v>High</x:v>
      </x:c>
      <x:c r="M9" s="21" t="str">
        <x:v>NCERT NCF Foundational Stage 2022</x:v>
      </x:c>
      <x:c r="N9" s="21" t="str">
        <x:v>https://www.ncert.nic.in/pdf/NCF_for_Foundational_Stage_20_October_2022.pdf</x:v>
      </x:c>
      <x:c r="O9" s="21" t="str">
        <x:v>Normalized gap: confirm exact placement against the adopting board/university's latest detailed syllabus.</x:v>
      </x:c>
    </x:row>
    <x:row r="10">
      <x:c r="A10" s="22" t="n">
        <x:v>86</x:v>
      </x:c>
      <x:c r="B10" s="21" t="str">
        <x:v>Foundational</x:v>
      </x:c>
      <x:c r="C10" s="21" t="str">
        <x:v>KG–Grade 2</x:v>
      </x:c>
      <x:c r="D10" s="21" t="str">
        <x:v>NCF-FS; CBSE/CISCE/State foundational programmes</x:v>
      </x:c>
      <x:c r="E10" s="21" t="str">
        <x:v>Optics</x:v>
      </x:c>
      <x:c r="F10" s="21" t="str">
        <x:v>Shadows</x:v>
      </x:c>
      <x:c r="G10" s="21" t="str">
        <x:v>Make and Change Shadows</x:v>
      </x:c>
      <x:c r="H10" s="21" t="str">
        <x:v>source-object-screen; size; direction</x:v>
      </x:c>
      <x:c r="I10" s="21" t="str">
        <x:v>Torch, puppet and screen shadow play</x:v>
      </x:c>
      <x:c r="J10" s="21" t="str">
        <x:v>Partial</x:v>
      </x:c>
      <x:c r="K10" s="21" t="str">
        <x:v>62: Shadows and Eclipses</x:v>
      </x:c>
      <x:c r="L10" s="21" t="str">
        <x:v>High</x:v>
      </x:c>
      <x:c r="M10" s="21" t="str">
        <x:v>NCERT NCF Foundational Stage 2022</x:v>
      </x:c>
      <x:c r="N10" s="21" t="str">
        <x:v>https://www.ncert.nic.in/pdf/NCF_for_Foundational_Stage_20_October_2022.pdf</x:v>
      </x:c>
      <x:c r="O10" s="21" t="str">
        <x:v>Normalized gap: confirm exact placement against the adopting board/university's latest detailed syllabus.</x:v>
      </x:c>
    </x:row>
    <x:row r="11">
      <x:c r="A11" s="22" t="n">
        <x:v>87</x:v>
      </x:c>
      <x:c r="B11" s="21" t="str">
        <x:v>Foundational</x:v>
      </x:c>
      <x:c r="C11" s="21" t="str">
        <x:v>KG–Grade 2</x:v>
      </x:c>
      <x:c r="D11" s="21" t="str">
        <x:v>NCF-FS; CBSE/CISCE/State foundational programmes</x:v>
      </x:c>
      <x:c r="E11" s="21" t="str">
        <x:v>Waves</x:v>
      </x:c>
      <x:c r="F11" s="21" t="str">
        <x:v>Sound sources</x:v>
      </x:c>
      <x:c r="G11" s="21" t="str">
        <x:v>Sounds Around Us</x:v>
      </x:c>
      <x:c r="H11" s="21" t="str">
        <x:v>sound/no sound; loud/soft; source identification</x:v>
      </x:c>
      <x:c r="I11" s="21" t="str">
        <x:v>Sound walk and source-matching station</x:v>
      </x:c>
      <x:c r="J11" s="21" t="str">
        <x:v>Partial</x:v>
      </x:c>
      <x:c r="K11" s="21" t="str">
        <x:v>77: Sound Pitch and Loudness</x:v>
      </x:c>
      <x:c r="L11" s="21" t="str">
        <x:v>High</x:v>
      </x:c>
      <x:c r="M11" s="21" t="str">
        <x:v>NCERT NCF Foundational Stage 2022</x:v>
      </x:c>
      <x:c r="N11" s="21" t="str">
        <x:v>https://www.ncert.nic.in/pdf/NCF_for_Foundational_Stage_20_October_2022.pdf</x:v>
      </x:c>
      <x:c r="O11" s="21" t="str">
        <x:v>Normalized gap: confirm exact placement against the adopting board/university's latest detailed syllabus.</x:v>
      </x:c>
    </x:row>
    <x:row r="12">
      <x:c r="A12" s="22" t="n">
        <x:v>88</x:v>
      </x:c>
      <x:c r="B12" s="21" t="str">
        <x:v>Foundational</x:v>
      </x:c>
      <x:c r="C12" s="21" t="str">
        <x:v>KG–Grade 2</x:v>
      </x:c>
      <x:c r="D12" s="21" t="str">
        <x:v>NCF-FS; CBSE/CISCE/State foundational programmes</x:v>
      </x:c>
      <x:c r="E12" s="21" t="str">
        <x:v>Waves</x:v>
      </x:c>
      <x:c r="F12" s="21" t="str">
        <x:v>Vibration</x:v>
      </x:c>
      <x:c r="G12" s="21" t="str">
        <x:v>Vibration Makes Sound</x:v>
      </x:c>
      <x:c r="H12" s="21" t="str">
        <x:v>visible/tactile vibration; sound production</x:v>
      </x:c>
      <x:c r="I12" s="21" t="str">
        <x:v>Rubber-band box and rice-on-drum activity</x:v>
      </x:c>
      <x:c r="J12" s="21" t="str">
        <x:v>Partial</x:v>
      </x:c>
      <x:c r="K12" s="21" t="str">
        <x:v>74: Longitudinal Sound Wave</x:v>
      </x:c>
      <x:c r="L12" s="21" t="str">
        <x:v>High</x:v>
      </x:c>
      <x:c r="M12" s="21" t="str">
        <x:v>NCERT NCF Foundational Stage 2022</x:v>
      </x:c>
      <x:c r="N12" s="21" t="str">
        <x:v>https://www.ncert.nic.in/pdf/NCF_for_Foundational_Stage_20_October_2022.pdf</x:v>
      </x:c>
      <x:c r="O12" s="21" t="str">
        <x:v>Normalized gap: confirm exact placement against the adopting board/university's latest detailed syllabus.</x:v>
      </x:c>
    </x:row>
    <x:row r="13">
      <x:c r="A13" s="22" t="n">
        <x:v>89</x:v>
      </x:c>
      <x:c r="B13" s="21" t="str">
        <x:v>Foundational</x:v>
      </x:c>
      <x:c r="C13" s="21" t="str">
        <x:v>KG–Grade 2</x:v>
      </x:c>
      <x:c r="D13" s="21" t="str">
        <x:v>NCF-FS; CBSE/CISCE/State foundational programmes</x:v>
      </x:c>
      <x:c r="E13" s="21" t="str">
        <x:v>Fluid Mechanics</x:v>
      </x:c>
      <x:c r="F13" s="21" t="str">
        <x:v>Buoyancy foundations</x:v>
      </x:c>
      <x:c r="G13" s="21" t="str">
        <x:v>Float or Sink: Predict and Test</x:v>
      </x:c>
      <x:c r="H13" s="21" t="str">
        <x:v>prediction; material/shape; floating/sinking</x:v>
      </x:c>
      <x:c r="I13" s="21" t="str">
        <x:v>Water-tub object sorting</x:v>
      </x:c>
      <x:c r="J13" s="21" t="str">
        <x:v>Partial</x:v>
      </x:c>
      <x:c r="K13" s="21" t="str">
        <x:v>23: Density Float-or-Sink Tank</x:v>
      </x:c>
      <x:c r="L13" s="21" t="str">
        <x:v>High</x:v>
      </x:c>
      <x:c r="M13" s="21" t="str">
        <x:v>NCERT NCF Foundational Stage 2022</x:v>
      </x:c>
      <x:c r="N13" s="21" t="str">
        <x:v>https://www.ncert.nic.in/pdf/NCF_for_Foundational_Stage_20_October_2022.pdf</x:v>
      </x:c>
      <x:c r="O13" s="21" t="str">
        <x:v>Normalized gap: confirm exact placement against the adopting board/university's latest detailed syllabus.</x:v>
      </x:c>
    </x:row>
    <x:row r="14">
      <x:c r="A14" s="22" t="n">
        <x:v>90</x:v>
      </x:c>
      <x:c r="B14" s="21" t="str">
        <x:v>Foundational</x:v>
      </x:c>
      <x:c r="C14" s="21" t="str">
        <x:v>KG–Grade 2</x:v>
      </x:c>
      <x:c r="D14" s="21" t="str">
        <x:v>NCF-FS; CBSE/CISCE/State foundational programmes</x:v>
      </x:c>
      <x:c r="E14" s="21" t="str">
        <x:v>Magnetism</x:v>
      </x:c>
      <x:c r="F14" s="21" t="str">
        <x:v>Magnetic interactions</x:v>
      </x:c>
      <x:c r="G14" s="21" t="str">
        <x:v>Magnet Play: Attract and Repel</x:v>
      </x:c>
      <x:c r="H14" s="21" t="str">
        <x:v>magnetic/non-magnetic; poles; attract/repel</x:v>
      </x:c>
      <x:c r="I14" s="21" t="str">
        <x:v>Magnet treasure hunt</x:v>
      </x:c>
      <x:c r="J14" s="21" t="str">
        <x:v>Partial</x:v>
      </x:c>
      <x:c r="K14" s="21" t="str">
        <x:v>26: Electromagnet</x:v>
      </x:c>
      <x:c r="L14" s="21" t="str">
        <x:v>High</x:v>
      </x:c>
      <x:c r="M14" s="21" t="str">
        <x:v>NCERT NCF Foundational Stage 2022</x:v>
      </x:c>
      <x:c r="N14" s="21" t="str">
        <x:v>https://www.ncert.nic.in/pdf/NCF_for_Foundational_Stage_20_October_2022.pdf</x:v>
      </x:c>
      <x:c r="O14" s="21" t="str">
        <x:v>Normalized gap: confirm exact placement against the adopting board/university's latest detailed syllabus.</x:v>
      </x:c>
    </x:row>
    <x:row r="15">
      <x:c r="A15" s="22" t="n">
        <x:v>91</x:v>
      </x:c>
      <x:c r="B15" s="21" t="str">
        <x:v>Foundational</x:v>
      </x:c>
      <x:c r="C15" s="21" t="str">
        <x:v>KG–Grade 2</x:v>
      </x:c>
      <x:c r="D15" s="21" t="str">
        <x:v>NCF-FS; CBSE/CISCE/State foundational programmes</x:v>
      </x:c>
      <x:c r="E15" s="21" t="str">
        <x:v>Astronomy</x:v>
      </x:c>
      <x:c r="F15" s="21" t="str">
        <x:v>Sky observations</x:v>
      </x:c>
      <x:c r="G15" s="21" t="str">
        <x:v>Day, Night and Moving Shadows</x:v>
      </x:c>
      <x:c r="H15" s="21" t="str">
        <x:v>day/night; Sun position; shadow change</x:v>
      </x:c>
      <x:c r="I15" s="21" t="str">
        <x:v>Hourly playground shadow record</x:v>
      </x:c>
      <x:c r="J15" s="21" t="str">
        <x:v>Partial</x:v>
      </x:c>
      <x:c r="K15" s="21" t="str">
        <x:v>62: Shadows and Eclipses</x:v>
      </x:c>
      <x:c r="L15" s="21" t="str">
        <x:v>Medium</x:v>
      </x:c>
      <x:c r="M15" s="21" t="str">
        <x:v>NCERT NCF Foundational Stage 2022</x:v>
      </x:c>
      <x:c r="N15" s="21" t="str">
        <x:v>https://www.ncert.nic.in/pdf/NCF_for_Foundational_Stage_20_October_2022.pdf</x:v>
      </x:c>
      <x:c r="O15" s="21" t="str">
        <x:v>Normalized gap: confirm exact placement against the adopting board/university's latest detailed syllabus.</x:v>
      </x:c>
    </x:row>
    <x:row r="16">
      <x:c r="A16" s="22" t="n">
        <x:v>92</x:v>
      </x:c>
      <x:c r="B16" s="21" t="str">
        <x:v>Foundational</x:v>
      </x:c>
      <x:c r="C16" s="21" t="str">
        <x:v>KG–Grade 2</x:v>
      </x:c>
      <x:c r="D16" s="21" t="str">
        <x:v>NCF-FS; CBSE/CISCE/State foundational programmes</x:v>
      </x:c>
      <x:c r="E16" s="21" t="str">
        <x:v>Measurement</x:v>
      </x:c>
      <x:c r="F16" s="21" t="str">
        <x:v>Environmental observation</x:v>
      </x:c>
      <x:c r="G16" s="21" t="str">
        <x:v>Weather Watch: Sun, Wind and Rain</x:v>
      </x:c>
      <x:c r="H16" s="21" t="str">
        <x:v>weather symbols; wind; rainfall; temperature</x:v>
      </x:c>
      <x:c r="I16" s="21" t="str">
        <x:v>Class weather station</x:v>
      </x:c>
      <x:c r="J16" s="21" t="str">
        <x:v>Partial</x:v>
      </x:c>
      <x:c r="K16" s="21" t="str">
        <x:v>67: Heat and Temperature</x:v>
      </x:c>
      <x:c r="L16" s="21" t="str">
        <x:v>Medium</x:v>
      </x:c>
      <x:c r="M16" s="21" t="str">
        <x:v>NCERT NCF Foundational Stage 2022</x:v>
      </x:c>
      <x:c r="N16" s="21" t="str">
        <x:v>https://www.ncert.nic.in/pdf/NCF_for_Foundational_Stage_20_October_2022.pdf</x:v>
      </x:c>
      <x:c r="O16" s="21" t="str">
        <x:v>Normalized gap: confirm exact placement against the adopting board/university's latest detailed syllabus.</x:v>
      </x:c>
    </x:row>
    <x:row r="17">
      <x:c r="A17" s="22" t="n">
        <x:v>93</x:v>
      </x:c>
      <x:c r="B17" s="21" t="str">
        <x:v>Preparatory</x:v>
      </x:c>
      <x:c r="C17" s="21" t="str">
        <x:v>Grades 3–5</x:v>
      </x:c>
      <x:c r="D17" s="21" t="str">
        <x:v>CBSE/CISCE/State primary science; NCF-SE</x:v>
      </x:c>
      <x:c r="E17" s="21" t="str">
        <x:v>Measurement</x:v>
      </x:c>
      <x:c r="F17" s="21" t="str">
        <x:v>Measurement skills</x:v>
      </x:c>
      <x:c r="G17" s="21" t="str">
        <x:v>Length, Mass, Time and Temperature Tools</x:v>
      </x:c>
      <x:c r="H17" s="21" t="str">
        <x:v>scale choice; reading instruments; units; estimation</x:v>
      </x:c>
      <x:c r="I17" s="21" t="str">
        <x:v>Measurement stations with ruler, balance, clock and thermometer</x:v>
      </x:c>
      <x:c r="J17" s="21" t="str">
        <x:v>Partial</x:v>
      </x:c>
      <x:c r="K17" s="21" t="str">
        <x:v>30: Measurement, Error, and Significant Figures</x:v>
      </x:c>
      <x:c r="L17" s="21" t="str">
        <x:v>Critical</x:v>
      </x:c>
      <x:c r="M17" s="21" t="str">
        <x:v>NCERT NCF School Education 2023 • CBSE Curriculum 2026-27 • Kerala SCERT Curriculum 2024</x:v>
      </x:c>
      <x:c r="N17" s="21" t="str">
        <x:v>https://ncert.nic.in/focus-group.php?ln=en • https://cbseacademic.nic.in/curriculum_2027.html • https://scert.kerala.gov.in/curriculum-2024/</x:v>
      </x:c>
      <x:c r="O17" s="21" t="str">
        <x:v>Normalized gap: confirm exact placement against the adopting board/university's latest detailed syllabus.</x:v>
      </x:c>
    </x:row>
    <x:row r="18">
      <x:c r="A18" s="22" t="n">
        <x:v>94</x:v>
      </x:c>
      <x:c r="B18" s="21" t="str">
        <x:v>Preparatory</x:v>
      </x:c>
      <x:c r="C18" s="21" t="str">
        <x:v>Grades 3–5</x:v>
      </x:c>
      <x:c r="D18" s="21" t="str">
        <x:v>CBSE/CISCE/State primary science; NCF-SE</x:v>
      </x:c>
      <x:c r="E18" s="21" t="str">
        <x:v>Measurement</x:v>
      </x:c>
      <x:c r="F18" s="21" t="str">
        <x:v>Measurement skills</x:v>
      </x:c>
      <x:c r="G18" s="21" t="str">
        <x:v>Volume and Capacity</x:v>
      </x:c>
      <x:c r="H18" s="21" t="str">
        <x:v>litre; millilitre; displacement; capacity</x:v>
      </x:c>
      <x:c r="I18" s="21" t="str">
        <x:v>Graduated-cylinder and overflow-can lab</x:v>
      </x:c>
      <x:c r="J18" s="21" t="str">
        <x:v>Partial</x:v>
      </x:c>
      <x:c r="K18" s="21" t="str">
        <x:v>23: Density Float-or-Sink Tank</x:v>
      </x:c>
      <x:c r="L18" s="21" t="str">
        <x:v>High</x:v>
      </x:c>
      <x:c r="M18" s="21" t="str">
        <x:v>NCERT NCF School Education 2023 • CBSE Curriculum 2026-27 • Kerala SCERT Curriculum 2024</x:v>
      </x:c>
      <x:c r="N18" s="21" t="str">
        <x:v>https://ncert.nic.in/focus-group.php?ln=en • https://cbseacademic.nic.in/curriculum_2027.html • https://scert.kerala.gov.in/curriculum-2024/</x:v>
      </x:c>
      <x:c r="O18" s="21" t="str">
        <x:v>Normalized gap: confirm exact placement against the adopting board/university's latest detailed syllabus.</x:v>
      </x:c>
    </x:row>
    <x:row r="19">
      <x:c r="A19" s="22" t="n">
        <x:v>95</x:v>
      </x:c>
      <x:c r="B19" s="21" t="str">
        <x:v>Preparatory</x:v>
      </x:c>
      <x:c r="C19" s="21" t="str">
        <x:v>Grades 3–5</x:v>
      </x:c>
      <x:c r="D19" s="21" t="str">
        <x:v>CBSE/CISCE/State primary science; NCF-SE</x:v>
      </x:c>
      <x:c r="E19" s="21" t="str">
        <x:v>Thermodynamics</x:v>
      </x:c>
      <x:c r="F19" s="21" t="str">
        <x:v>Matter</x:v>
      </x:c>
      <x:c r="G19" s="21" t="str">
        <x:v>States of Matter and Particle Model</x:v>
      </x:c>
      <x:c r="H19" s="21" t="str">
        <x:v>solid/liquid/gas; particle spacing; change of state</x:v>
      </x:c>
      <x:c r="I19" s="21" t="str">
        <x:v>Particle-role-play and syringe model</x:v>
      </x:c>
      <x:c r="J19" s="21" t="str">
        <x:v>Partial</x:v>
      </x:c>
      <x:c r="K19" s="21" t="str">
        <x:v>66: Gas Laws and Kinetic Theory</x:v>
      </x:c>
      <x:c r="L19" s="21" t="str">
        <x:v>High</x:v>
      </x:c>
      <x:c r="M19" s="21" t="str">
        <x:v>NCERT NCF School Education 2023 • CBSE Curriculum 2026-27 • Kerala SCERT Curriculum 2024</x:v>
      </x:c>
      <x:c r="N19" s="21" t="str">
        <x:v>https://ncert.nic.in/focus-group.php?ln=en • https://cbseacademic.nic.in/curriculum_2027.html • https://scert.kerala.gov.in/curriculum-2024/</x:v>
      </x:c>
      <x:c r="O19" s="21" t="str">
        <x:v>Normalized gap: confirm exact placement against the adopting board/university's latest detailed syllabus.</x:v>
      </x:c>
    </x:row>
    <x:row r="20">
      <x:c r="A20" s="22" t="n">
        <x:v>96</x:v>
      </x:c>
      <x:c r="B20" s="21" t="str">
        <x:v>Preparatory</x:v>
      </x:c>
      <x:c r="C20" s="21" t="str">
        <x:v>Grades 3–5</x:v>
      </x:c>
      <x:c r="D20" s="21" t="str">
        <x:v>CBSE/CISCE/State primary science; NCF-SE</x:v>
      </x:c>
      <x:c r="E20" s="21" t="str">
        <x:v>Thermodynamics</x:v>
      </x:c>
      <x:c r="F20" s="21" t="str">
        <x:v>Changes of state</x:v>
      </x:c>
      <x:c r="G20" s="21" t="str">
        <x:v>Melting, Freezing, Evaporation and Condensation</x:v>
      </x:c>
      <x:c r="H20" s="21" t="str">
        <x:v>heating/cooling; reversible change; water cycle links</x:v>
      </x:c>
      <x:c r="I20" s="21" t="str">
        <x:v>Ice-melt and covered-cup condensation lab</x:v>
      </x:c>
      <x:c r="J20" s="21" t="str">
        <x:v>Partial</x:v>
      </x:c>
      <x:c r="K20" s="21" t="str">
        <x:v>68: Heat Transfer</x:v>
      </x:c>
      <x:c r="L20" s="21" t="str">
        <x:v>High</x:v>
      </x:c>
      <x:c r="M20" s="21" t="str">
        <x:v>NCERT NCF School Education 2023 • CBSE Curriculum 2026-27 • Kerala SCERT Curriculum 2024</x:v>
      </x:c>
      <x:c r="N20" s="21" t="str">
        <x:v>https://ncert.nic.in/focus-group.php?ln=en • https://cbseacademic.nic.in/curriculum_2027.html • https://scert.kerala.gov.in/curriculum-2024/</x:v>
      </x:c>
      <x:c r="O20" s="21" t="str">
        <x:v>Normalized gap: confirm exact placement against the adopting board/university's latest detailed syllabus.</x:v>
      </x:c>
    </x:row>
    <x:row r="21">
      <x:c r="A21" s="22" t="n">
        <x:v>97</x:v>
      </x:c>
      <x:c r="B21" s="21" t="str">
        <x:v>Preparatory</x:v>
      </x:c>
      <x:c r="C21" s="21" t="str">
        <x:v>Grades 3–5</x:v>
      </x:c>
      <x:c r="D21" s="21" t="str">
        <x:v>CBSE/CISCE/State primary science; NCF-SE</x:v>
      </x:c>
      <x:c r="E21" s="21" t="str">
        <x:v>Mechanics</x:v>
      </x:c>
      <x:c r="F21" s="21" t="str">
        <x:v>Machines</x:v>
      </x:c>
      <x:c r="G21" s="21" t="str">
        <x:v>Simple Machines: Lever</x:v>
      </x:c>
      <x:c r="H21" s="21" t="str">
        <x:v>load; effort; fulcrum; mechanical advantage</x:v>
      </x:c>
      <x:c r="I21" s="21" t="str">
        <x:v>Ruler-and-fulcrum lifting lab</x:v>
      </x:c>
      <x:c r="J21" s="21" t="str">
        <x:v>Partial</x:v>
      </x:c>
      <x:c r="K21" s="21" t="str">
        <x:v>47: Work and Power</x:v>
      </x:c>
      <x:c r="L21" s="21" t="str">
        <x:v>High</x:v>
      </x:c>
      <x:c r="M21" s="21" t="str">
        <x:v>NCERT NCF School Education 2023 • CBSE Curriculum 2026-27 • Kerala SCERT Curriculum 2024</x:v>
      </x:c>
      <x:c r="N21" s="21" t="str">
        <x:v>https://ncert.nic.in/focus-group.php?ln=en • https://cbseacademic.nic.in/curriculum_2027.html • https://scert.kerala.gov.in/curriculum-2024/</x:v>
      </x:c>
      <x:c r="O21" s="21" t="str">
        <x:v>Normalized gap: confirm exact placement against the adopting board/university's latest detailed syllabus.</x:v>
      </x:c>
    </x:row>
    <x:row r="22">
      <x:c r="A22" s="22" t="n">
        <x:v>98</x:v>
      </x:c>
      <x:c r="B22" s="21" t="str">
        <x:v>Preparatory</x:v>
      </x:c>
      <x:c r="C22" s="21" t="str">
        <x:v>Grades 3–5</x:v>
      </x:c>
      <x:c r="D22" s="21" t="str">
        <x:v>CBSE/CISCE/State primary science; NCF-SE</x:v>
      </x:c>
      <x:c r="E22" s="21" t="str">
        <x:v>Mechanics</x:v>
      </x:c>
      <x:c r="F22" s="21" t="str">
        <x:v>Machines</x:v>
      </x:c>
      <x:c r="G22" s="21" t="str">
        <x:v>Simple Machines: Pulley, Wheel and Axle</x:v>
      </x:c>
      <x:c r="H22" s="21" t="str">
        <x:v>direction of force; effort; wheel and axle</x:v>
      </x:c>
      <x:c r="I22" s="21" t="str">
        <x:v>Fixed/movable pulley comparison</x:v>
      </x:c>
      <x:c r="J22" s="21" t="str">
        <x:v>Partial</x:v>
      </x:c>
      <x:c r="K22" s="21" t="str">
        <x:v>47: Work and Power</x:v>
      </x:c>
      <x:c r="L22" s="21" t="str">
        <x:v>High</x:v>
      </x:c>
      <x:c r="M22" s="21" t="str">
        <x:v>NCERT NCF School Education 2023 • CBSE Curriculum 2026-27 • Kerala SCERT Curriculum 2024</x:v>
      </x:c>
      <x:c r="N22" s="21" t="str">
        <x:v>https://ncert.nic.in/focus-group.php?ln=en • https://cbseacademic.nic.in/curriculum_2027.html • https://scert.kerala.gov.in/curriculum-2024/</x:v>
      </x:c>
      <x:c r="O22" s="21" t="str">
        <x:v>Normalized gap: confirm exact placement against the adopting board/university's latest detailed syllabus.</x:v>
      </x:c>
    </x:row>
    <x:row r="23">
      <x:c r="A23" s="22" t="n">
        <x:v>99</x:v>
      </x:c>
      <x:c r="B23" s="21" t="str">
        <x:v>Preparatory</x:v>
      </x:c>
      <x:c r="C23" s="21" t="str">
        <x:v>Grades 3–5</x:v>
      </x:c>
      <x:c r="D23" s="21" t="str">
        <x:v>CBSE/CISCE/State primary science; NCF-SE</x:v>
      </x:c>
      <x:c r="E23" s="21" t="str">
        <x:v>Mechanics</x:v>
      </x:c>
      <x:c r="F23" s="21" t="str">
        <x:v>Machines</x:v>
      </x:c>
      <x:c r="G23" s="21" t="str">
        <x:v>Simple Machines: Inclined Plane, Wedge and Screw</x:v>
      </x:c>
      <x:c r="H23" s="21" t="str">
        <x:v>force-distance trade-off; everyday examples</x:v>
      </x:c>
      <x:c r="I23" s="21" t="str">
        <x:v>Adjustable ramp force test</x:v>
      </x:c>
      <x:c r="J23" s="21" t="str">
        <x:v>Partial</x:v>
      </x:c>
      <x:c r="K23" s="21" t="str">
        <x:v>39: Inclined Plane</x:v>
      </x:c>
      <x:c r="L23" s="21" t="str">
        <x:v>High</x:v>
      </x:c>
      <x:c r="M23" s="21" t="str">
        <x:v>NCERT NCF School Education 2023 • CBSE Curriculum 2026-27 • Kerala SCERT Curriculum 2024</x:v>
      </x:c>
      <x:c r="N23" s="21" t="str">
        <x:v>https://ncert.nic.in/focus-group.php?ln=en • https://cbseacademic.nic.in/curriculum_2027.html • https://scert.kerala.gov.in/curriculum-2024/</x:v>
      </x:c>
      <x:c r="O23" s="21" t="str">
        <x:v>Normalized gap: confirm exact placement against the adopting board/university's latest detailed syllabus.</x:v>
      </x:c>
    </x:row>
    <x:row r="24">
      <x:c r="A24" s="22" t="n">
        <x:v>100</x:v>
      </x:c>
      <x:c r="B24" s="21" t="str">
        <x:v>Preparatory</x:v>
      </x:c>
      <x:c r="C24" s="21" t="str">
        <x:v>Grades 3–5</x:v>
      </x:c>
      <x:c r="D24" s="21" t="str">
        <x:v>CBSE/CISCE/State primary science; NCF-SE</x:v>
      </x:c>
      <x:c r="E24" s="21" t="str">
        <x:v>Energy</x:v>
      </x:c>
      <x:c r="F24" s="21" t="str">
        <x:v>Energy foundations</x:v>
      </x:c>
      <x:c r="G24" s="21" t="str">
        <x:v>Forms of Energy and Energy Chains</x:v>
      </x:c>
      <x:c r="H24" s="21" t="str">
        <x:v>motion; light; sound; heat; electrical; transformation</x:v>
      </x:c>
      <x:c r="I24" s="21" t="str">
        <x:v>Build energy-chain cards and hand-generator demo</x:v>
      </x:c>
      <x:c r="J24" s="21" t="str">
        <x:v>Partial</x:v>
      </x:c>
      <x:c r="K24" s="21" t="str">
        <x:v>33: Conservation of Energy</x:v>
      </x:c>
      <x:c r="L24" s="21" t="str">
        <x:v>High</x:v>
      </x:c>
      <x:c r="M24" s="21" t="str">
        <x:v>NCERT NCF School Education 2023 • CBSE Curriculum 2026-27 • Kerala SCERT Curriculum 2024</x:v>
      </x:c>
      <x:c r="N24" s="21" t="str">
        <x:v>https://ncert.nic.in/focus-group.php?ln=en • https://cbseacademic.nic.in/curriculum_2027.html • https://scert.kerala.gov.in/curriculum-2024/</x:v>
      </x:c>
      <x:c r="O24" s="21" t="str">
        <x:v>Normalized gap: confirm exact placement against the adopting board/university's latest detailed syllabus.</x:v>
      </x:c>
    </x:row>
    <x:row r="25">
      <x:c r="A25" s="22" t="n">
        <x:v>101</x:v>
      </x:c>
      <x:c r="B25" s="21" t="str">
        <x:v>Preparatory</x:v>
      </x:c>
      <x:c r="C25" s="21" t="str">
        <x:v>Grades 3–5</x:v>
      </x:c>
      <x:c r="D25" s="21" t="str">
        <x:v>CBSE/CISCE/State primary science; NCF-SE</x:v>
      </x:c>
      <x:c r="E25" s="21" t="str">
        <x:v>Optics</x:v>
      </x:c>
      <x:c r="F25" s="21" t="str">
        <x:v>Light and materials</x:v>
      </x:c>
      <x:c r="G25" s="21" t="str">
        <x:v>Transparent, Translucent and Opaque Materials</x:v>
      </x:c>
      <x:c r="H25" s="21" t="str">
        <x:v>transmission; blocking; material classification</x:v>
      </x:c>
      <x:c r="I25" s="21" t="str">
        <x:v>Torch transmission tester</x:v>
      </x:c>
      <x:c r="J25" s="21" t="str">
        <x:v>Partial</x:v>
      </x:c>
      <x:c r="K25" s="21" t="str">
        <x:v>54: Glass Slab Refraction</x:v>
      </x:c>
      <x:c r="L25" s="21" t="str">
        <x:v>High</x:v>
      </x:c>
      <x:c r="M25" s="21" t="str">
        <x:v>NCERT NCF School Education 2023 • CBSE Curriculum 2026-27 • Kerala SCERT Curriculum 2024</x:v>
      </x:c>
      <x:c r="N25" s="21" t="str">
        <x:v>https://ncert.nic.in/focus-group.php?ln=en • https://cbseacademic.nic.in/curriculum_2027.html • https://scert.kerala.gov.in/curriculum-2024/</x:v>
      </x:c>
      <x:c r="O25" s="21" t="str">
        <x:v>Normalized gap: confirm exact placement against the adopting board/university's latest detailed syllabus.</x:v>
      </x:c>
    </x:row>
    <x:row r="26">
      <x:c r="A26" s="22" t="n">
        <x:v>102</x:v>
      </x:c>
      <x:c r="B26" s="21" t="str">
        <x:v>Preparatory</x:v>
      </x:c>
      <x:c r="C26" s="21" t="str">
        <x:v>Grades 3–5</x:v>
      </x:c>
      <x:c r="D26" s="21" t="str">
        <x:v>CBSE/CISCE/State primary science; NCF-SE</x:v>
      </x:c>
      <x:c r="E26" s="21" t="str">
        <x:v>Waves</x:v>
      </x:c>
      <x:c r="F26" s="21" t="str">
        <x:v>Sound propagation</x:v>
      </x:c>
      <x:c r="G26" s="21" t="str">
        <x:v>How Sound Travels Through Materials</x:v>
      </x:c>
      <x:c r="H26" s="21" t="str">
        <x:v>vibration through solids/liquids/gases; medium</x:v>
      </x:c>
      <x:c r="I26" s="21" t="str">
        <x:v>Cup telephone and table-tap investigation</x:v>
      </x:c>
      <x:c r="J26" s="21" t="str">
        <x:v>Partial</x:v>
      </x:c>
      <x:c r="K26" s="21" t="str">
        <x:v>74: Longitudinal Sound Wave</x:v>
      </x:c>
      <x:c r="L26" s="21" t="str">
        <x:v>High</x:v>
      </x:c>
      <x:c r="M26" s="21" t="str">
        <x:v>NCERT NCF School Education 2023 • CBSE Curriculum 2026-27 • Kerala SCERT Curriculum 2024</x:v>
      </x:c>
      <x:c r="N26" s="21" t="str">
        <x:v>https://ncert.nic.in/focus-group.php?ln=en • https://cbseacademic.nic.in/curriculum_2027.html • https://scert.kerala.gov.in/curriculum-2024/</x:v>
      </x:c>
      <x:c r="O26" s="21" t="str">
        <x:v>Normalized gap: confirm exact placement against the adopting board/university's latest detailed syllabus.</x:v>
      </x:c>
    </x:row>
    <x:row r="27">
      <x:c r="A27" s="22" t="n">
        <x:v>103</x:v>
      </x:c>
      <x:c r="B27" s="21" t="str">
        <x:v>Preparatory</x:v>
      </x:c>
      <x:c r="C27" s="21" t="str">
        <x:v>Grades 3–5</x:v>
      </x:c>
      <x:c r="D27" s="21" t="str">
        <x:v>CBSE/CISCE/State primary science; NCF-SE</x:v>
      </x:c>
      <x:c r="E27" s="21" t="str">
        <x:v>Electricity</x:v>
      </x:c>
      <x:c r="F27" s="21" t="str">
        <x:v>Circuit foundations</x:v>
      </x:c>
      <x:c r="G27" s="21" t="str">
        <x:v>Electric Cell, Bulb and Closed Circuit</x:v>
      </x:c>
      <x:c r="H27" s="21" t="str">
        <x:v>cell terminals; open/closed circuit; circuit symbols</x:v>
      </x:c>
      <x:c r="I27" s="21" t="str">
        <x:v>Build a cell-switch-bulb circuit</x:v>
      </x:c>
      <x:c r="J27" s="21" t="str">
        <x:v>Partial</x:v>
      </x:c>
      <x:c r="K27" s="21" t="str">
        <x:v>15: Series and Parallel Resistance</x:v>
      </x:c>
      <x:c r="L27" s="21" t="str">
        <x:v>Critical</x:v>
      </x:c>
      <x:c r="M27" s="21" t="str">
        <x:v>NCERT NCF School Education 2023 • CBSE Curriculum 2026-27 • Kerala SCERT Curriculum 2024</x:v>
      </x:c>
      <x:c r="N27" s="21" t="str">
        <x:v>https://ncert.nic.in/focus-group.php?ln=en • https://cbseacademic.nic.in/curriculum_2027.html • https://scert.kerala.gov.in/curriculum-2024/</x:v>
      </x:c>
      <x:c r="O27" s="21" t="str">
        <x:v>Normalized gap: confirm exact placement against the adopting board/university's latest detailed syllabus.</x:v>
      </x:c>
    </x:row>
    <x:row r="28">
      <x:c r="A28" s="22" t="n">
        <x:v>104</x:v>
      </x:c>
      <x:c r="B28" s="21" t="str">
        <x:v>Preparatory</x:v>
      </x:c>
      <x:c r="C28" s="21" t="str">
        <x:v>Grades 3–5</x:v>
      </x:c>
      <x:c r="D28" s="21" t="str">
        <x:v>CBSE/CISCE/State primary science; NCF-SE</x:v>
      </x:c>
      <x:c r="E28" s="21" t="str">
        <x:v>Electricity</x:v>
      </x:c>
      <x:c r="F28" s="21" t="str">
        <x:v>Materials in circuits</x:v>
      </x:c>
      <x:c r="G28" s="21" t="str">
        <x:v>Conductors and Insulators</x:v>
      </x:c>
      <x:c r="H28" s="21" t="str">
        <x:v>conductivity; fair testing; safety</x:v>
      </x:c>
      <x:c r="I28" s="21" t="str">
        <x:v>Material conductivity tester</x:v>
      </x:c>
      <x:c r="J28" s="21" t="str">
        <x:v>Partial</x:v>
      </x:c>
      <x:c r="K28" s="21" t="str">
        <x:v>14: Ohm's Law V-I Graph</x:v>
      </x:c>
      <x:c r="L28" s="21" t="str">
        <x:v>High</x:v>
      </x:c>
      <x:c r="M28" s="21" t="str">
        <x:v>NCERT NCF School Education 2023 • CBSE Curriculum 2026-27 • Kerala SCERT Curriculum 2024</x:v>
      </x:c>
      <x:c r="N28" s="21" t="str">
        <x:v>https://ncert.nic.in/focus-group.php?ln=en • https://cbseacademic.nic.in/curriculum_2027.html • https://scert.kerala.gov.in/curriculum-2024/</x:v>
      </x:c>
      <x:c r="O28" s="21" t="str">
        <x:v>Normalized gap: confirm exact placement against the adopting board/university's latest detailed syllabus.</x:v>
      </x:c>
    </x:row>
    <x:row r="29">
      <x:c r="A29" s="22" t="n">
        <x:v>105</x:v>
      </x:c>
      <x:c r="B29" s="21" t="str">
        <x:v>Preparatory</x:v>
      </x:c>
      <x:c r="C29" s="21" t="str">
        <x:v>Grades 3–5</x:v>
      </x:c>
      <x:c r="D29" s="21" t="str">
        <x:v>CBSE/CISCE/State primary science; NCF-SE</x:v>
      </x:c>
      <x:c r="E29" s="21" t="str">
        <x:v>Magnetism</x:v>
      </x:c>
      <x:c r="F29" s="21" t="str">
        <x:v>Magnetism foundations</x:v>
      </x:c>
      <x:c r="G29" s="21" t="str">
        <x:v>Permanent Magnets, Poles and Compass</x:v>
      </x:c>
      <x:c r="H29" s="21" t="str">
        <x:v>poles; field direction; compass; Earth as magnet</x:v>
      </x:c>
      <x:c r="I29" s="21" t="str">
        <x:v>Map a bar magnet with compasses</x:v>
      </x:c>
      <x:c r="J29" s="21" t="str">
        <x:v>Partial</x:v>
      </x:c>
      <x:c r="K29" s="21" t="str">
        <x:v>26: Electromagnet</x:v>
      </x:c>
      <x:c r="L29" s="21" t="str">
        <x:v>High</x:v>
      </x:c>
      <x:c r="M29" s="21" t="str">
        <x:v>NCERT NCF School Education 2023 • CBSE Curriculum 2026-27 • Kerala SCERT Curriculum 2024</x:v>
      </x:c>
      <x:c r="N29" s="21" t="str">
        <x:v>https://ncert.nic.in/focus-group.php?ln=en • https://cbseacademic.nic.in/curriculum_2027.html • https://scert.kerala.gov.in/curriculum-2024/</x:v>
      </x:c>
      <x:c r="O29" s="21" t="str">
        <x:v>Normalized gap: confirm exact placement against the adopting board/university's latest detailed syllabus.</x:v>
      </x:c>
    </x:row>
    <x:row r="30">
      <x:c r="A30" s="22" t="n">
        <x:v>106</x:v>
      </x:c>
      <x:c r="B30" s="21" t="str">
        <x:v>Preparatory</x:v>
      </x:c>
      <x:c r="C30" s="21" t="str">
        <x:v>Grades 3–5</x:v>
      </x:c>
      <x:c r="D30" s="21" t="str">
        <x:v>CBSE/CISCE/State primary science; NCF-SE</x:v>
      </x:c>
      <x:c r="E30" s="21" t="str">
        <x:v>Mechanics</x:v>
      </x:c>
      <x:c r="F30" s="21" t="str">
        <x:v>Forces</x:v>
      </x:c>
      <x:c r="G30" s="21" t="str">
        <x:v>Friction in Everyday Life</x:v>
      </x:c>
      <x:c r="H30" s="21" t="str">
        <x:v>surface effects; useful/harmful friction; lubrication</x:v>
      </x:c>
      <x:c r="I30" s="21" t="str">
        <x:v>Toy-block pull test on surfaces</x:v>
      </x:c>
      <x:c r="J30" s="21" t="str">
        <x:v>Partial</x:v>
      </x:c>
      <x:c r="K30" s="21" t="str">
        <x:v>37: Friction</x:v>
      </x:c>
      <x:c r="L30" s="21" t="str">
        <x:v>High</x:v>
      </x:c>
      <x:c r="M30" s="21" t="str">
        <x:v>NCERT NCF School Education 2023 • CBSE Curriculum 2026-27 • Kerala SCERT Curriculum 2024</x:v>
      </x:c>
      <x:c r="N30" s="21" t="str">
        <x:v>https://ncert.nic.in/focus-group.php?ln=en • https://cbseacademic.nic.in/curriculum_2027.html • https://scert.kerala.gov.in/curriculum-2024/</x:v>
      </x:c>
      <x:c r="O30" s="21" t="str">
        <x:v>Normalized gap: confirm exact placement against the adopting board/university's latest detailed syllabus.</x:v>
      </x:c>
    </x:row>
    <x:row r="31">
      <x:c r="A31" s="22" t="n">
        <x:v>107</x:v>
      </x:c>
      <x:c r="B31" s="21" t="str">
        <x:v>Preparatory</x:v>
      </x:c>
      <x:c r="C31" s="21" t="str">
        <x:v>Grades 3–5</x:v>
      </x:c>
      <x:c r="D31" s="21" t="str">
        <x:v>CBSE/CISCE/State primary science; NCF-SE</x:v>
      </x:c>
      <x:c r="E31" s="21" t="str">
        <x:v>Mechanics</x:v>
      </x:c>
      <x:c r="F31" s="21" t="str">
        <x:v>Forces</x:v>
      </x:c>
      <x:c r="G31" s="21" t="str">
        <x:v>Air Resistance and Streamlining</x:v>
      </x:c>
      <x:c r="H31" s="21" t="str">
        <x:v>drag; area; shape; falling objects</x:v>
      </x:c>
      <x:c r="I31" s="21" t="str">
        <x:v>Paper-drop and parachute design lab</x:v>
      </x:c>
      <x:c r="J31" s="21" t="str">
        <x:v>Partial</x:v>
      </x:c>
      <x:c r="K31" s="21" t="str">
        <x:v>36: Free Fall</x:v>
      </x:c>
      <x:c r="L31" s="21" t="str">
        <x:v>Medium</x:v>
      </x:c>
      <x:c r="M31" s="21" t="str">
        <x:v>NCERT NCF School Education 2023 • CBSE Curriculum 2026-27 • Kerala SCERT Curriculum 2024</x:v>
      </x:c>
      <x:c r="N31" s="21" t="str">
        <x:v>https://ncert.nic.in/focus-group.php?ln=en • https://cbseacademic.nic.in/curriculum_2027.html • https://scert.kerala.gov.in/curriculum-2024/</x:v>
      </x:c>
      <x:c r="O31" s="21" t="str">
        <x:v>Normalized gap: confirm exact placement against the adopting board/university's latest detailed syllabus.</x:v>
      </x:c>
    </x:row>
    <x:row r="32">
      <x:c r="A32" s="22" t="n">
        <x:v>108</x:v>
      </x:c>
      <x:c r="B32" s="21" t="str">
        <x:v>Preparatory</x:v>
      </x:c>
      <x:c r="C32" s="21" t="str">
        <x:v>Grades 3–5</x:v>
      </x:c>
      <x:c r="D32" s="21" t="str">
        <x:v>CBSE/CISCE/State primary science; NCF-SE</x:v>
      </x:c>
      <x:c r="E32" s="21" t="str">
        <x:v>Astronomy</x:v>
      </x:c>
      <x:c r="F32" s="21" t="str">
        <x:v>Solar system foundations</x:v>
      </x:c>
      <x:c r="G32" s="21" t="str">
        <x:v>Earth, Moon and Sun System</x:v>
      </x:c>
      <x:c r="H32" s="21" t="str">
        <x:v>rotation; revolution; scale; gravity overview</x:v>
      </x:c>
      <x:c r="I32" s="21" t="str">
        <x:v>Lamp-globe-orbit model</x:v>
      </x:c>
      <x:c r="J32" s="21" t="str">
        <x:v>Partial</x:v>
      </x:c>
      <x:c r="K32" s="21" t="str">
        <x:v>1: Satellite Orbit and Escape Speed</x:v>
      </x:c>
      <x:c r="L32" s="21" t="str">
        <x:v>High</x:v>
      </x:c>
      <x:c r="M32" s="21" t="str">
        <x:v>NCERT NCF School Education 2023 • CBSE Curriculum 2026-27 • Kerala SCERT Curriculum 2024</x:v>
      </x:c>
      <x:c r="N32" s="21" t="str">
        <x:v>https://ncert.nic.in/focus-group.php?ln=en • https://cbseacademic.nic.in/curriculum_2027.html • https://scert.kerala.gov.in/curriculum-2024/</x:v>
      </x:c>
      <x:c r="O32" s="21" t="str">
        <x:v>Normalized gap: confirm exact placement against the adopting board/university's latest detailed syllabus.</x:v>
      </x:c>
    </x:row>
    <x:row r="33">
      <x:c r="A33" s="22" t="n">
        <x:v>109</x:v>
      </x:c>
      <x:c r="B33" s="21" t="str">
        <x:v>Preparatory</x:v>
      </x:c>
      <x:c r="C33" s="21" t="str">
        <x:v>Grades 3–5</x:v>
      </x:c>
      <x:c r="D33" s="21" t="str">
        <x:v>CBSE/CISCE/State primary science; NCF-SE</x:v>
      </x:c>
      <x:c r="E33" s="21" t="str">
        <x:v>Astronomy</x:v>
      </x:c>
      <x:c r="F33" s="21" t="str">
        <x:v>Observational astronomy</x:v>
      </x:c>
      <x:c r="G33" s="21" t="str">
        <x:v>Moon Phases</x:v>
      </x:c>
      <x:c r="H33" s="21" t="str">
        <x:v>Sun-Earth-Moon geometry; phase sequence</x:v>
      </x:c>
      <x:c r="I33" s="21" t="str">
        <x:v>Lamp-and-ball lunar phase model</x:v>
      </x:c>
      <x:c r="J33" s="21" t="str">
        <x:v>Partial</x:v>
      </x:c>
      <x:c r="K33" s="21" t="str">
        <x:v>62: Shadows and Eclipses</x:v>
      </x:c>
      <x:c r="L33" s="21" t="str">
        <x:v>High</x:v>
      </x:c>
      <x:c r="M33" s="21" t="str">
        <x:v>NCERT NCF School Education 2023 • CBSE Curriculum 2026-27 • Kerala SCERT Curriculum 2024</x:v>
      </x:c>
      <x:c r="N33" s="21" t="str">
        <x:v>https://ncert.nic.in/focus-group.php?ln=en • https://cbseacademic.nic.in/curriculum_2027.html • https://scert.kerala.gov.in/curriculum-2024/</x:v>
      </x:c>
      <x:c r="O33" s="21" t="str">
        <x:v>Normalized gap: confirm exact placement against the adopting board/university's latest detailed syllabus.</x:v>
      </x:c>
    </x:row>
    <x:row r="34">
      <x:c r="A34" s="22" t="n">
        <x:v>110</x:v>
      </x:c>
      <x:c r="B34" s="21" t="str">
        <x:v>Preparatory</x:v>
      </x:c>
      <x:c r="C34" s="21" t="str">
        <x:v>Grades 3–5</x:v>
      </x:c>
      <x:c r="D34" s="21" t="str">
        <x:v>CBSE/CISCE/State primary science; NCF-SE</x:v>
      </x:c>
      <x:c r="E34" s="21" t="str">
        <x:v>Astronomy</x:v>
      </x:c>
      <x:c r="F34" s="21" t="str">
        <x:v>Earth-Sun system</x:v>
      </x:c>
      <x:c r="G34" s="21" t="str">
        <x:v>Seasons and Length of Day</x:v>
      </x:c>
      <x:c r="H34" s="21" t="str">
        <x:v>axial tilt; revolution; hemispheres</x:v>
      </x:c>
      <x:c r="I34" s="21" t="str">
        <x:v>Tilted-globe seasons model</x:v>
      </x:c>
      <x:c r="J34" s="21" t="str">
        <x:v>Partial</x:v>
      </x:c>
      <x:c r="K34" s="21" t="str">
        <x:v>62: Shadows and Eclipses</x:v>
      </x:c>
      <x:c r="L34" s="21" t="str">
        <x:v>Medium</x:v>
      </x:c>
      <x:c r="M34" s="21" t="str">
        <x:v>NCERT NCF School Education 2023 • CBSE Curriculum 2026-27 • Kerala SCERT Curriculum 2024</x:v>
      </x:c>
      <x:c r="N34" s="21" t="str">
        <x:v>https://ncert.nic.in/focus-group.php?ln=en • https://cbseacademic.nic.in/curriculum_2027.html • https://scert.kerala.gov.in/curriculum-2024/</x:v>
      </x:c>
      <x:c r="O34" s="21" t="str">
        <x:v>Normalized gap: confirm exact placement against the adopting board/university's latest detailed syllabus.</x:v>
      </x:c>
    </x:row>
    <x:row r="35">
      <x:c r="A35" s="22" t="n">
        <x:v>111</x:v>
      </x:c>
      <x:c r="B35" s="21" t="str">
        <x:v>Middle</x:v>
      </x:c>
      <x:c r="C35" s="21" t="str">
        <x:v>Grades 6–8</x:v>
      </x:c>
      <x:c r="D35" s="21" t="str">
        <x:v>CBSE/CISCE/State middle-stage science</x:v>
      </x:c>
      <x:c r="E35" s="21" t="str">
        <x:v>Mechanics</x:v>
      </x:c>
      <x:c r="F35" s="21" t="str">
        <x:v>Kinematics</x:v>
      </x:c>
      <x:c r="G35" s="21" t="str">
        <x:v>Speed, Velocity and Acceleration</x:v>
      </x:c>
      <x:c r="H35" s="21" t="str">
        <x:v>distance/displacement; speed/velocity; acceleration</x:v>
      </x:c>
      <x:c r="I35" s="21" t="str">
        <x:v>Motion sensor or video-tracking lab</x:v>
      </x:c>
      <x:c r="J35" s="21" t="str">
        <x:v>Partial</x:v>
      </x:c>
      <x:c r="K35" s="21" t="str">
        <x:v>34: Distance-Time Graph Builder</x:v>
      </x:c>
      <x:c r="L35" s="21" t="str">
        <x:v>Critical</x:v>
      </x:c>
      <x:c r="M35" s="21" t="str">
        <x:v>NCERT NCF School Education 2023 • CBSE Curriculum 2026-27 • Kerala SCERT Curriculum 2024</x:v>
      </x:c>
      <x:c r="N35" s="21" t="str">
        <x:v>https://ncert.nic.in/focus-group.php?ln=en • https://cbseacademic.nic.in/curriculum_2027.html • https://scert.kerala.gov.in/curriculum-2024/</x:v>
      </x:c>
      <x:c r="O35" s="21" t="str">
        <x:v>Normalized gap: confirm exact placement against the adopting board/university's latest detailed syllabus.</x:v>
      </x:c>
    </x:row>
    <x:row r="36">
      <x:c r="A36" s="22" t="n">
        <x:v>112</x:v>
      </x:c>
      <x:c r="B36" s="21" t="str">
        <x:v>Middle</x:v>
      </x:c>
      <x:c r="C36" s="21" t="str">
        <x:v>Grades 6–8</x:v>
      </x:c>
      <x:c r="D36" s="21" t="str">
        <x:v>CBSE/CISCE/State middle-stage science</x:v>
      </x:c>
      <x:c r="E36" s="21" t="str">
        <x:v>Mechanics</x:v>
      </x:c>
      <x:c r="F36" s="21" t="str">
        <x:v>Kinematics graphs</x:v>
      </x:c>
      <x:c r="G36" s="21" t="str">
        <x:v>Velocity-Time Graphs</x:v>
      </x:c>
      <x:c r="H36" s="21" t="str">
        <x:v>slope; area; uniform acceleration</x:v>
      </x:c>
      <x:c r="I36" s="21" t="str">
        <x:v>Interactive velocity-time graph builder</x:v>
      </x:c>
      <x:c r="J36" s="21" t="str">
        <x:v>Partial</x:v>
      </x:c>
      <x:c r="K36" s="21" t="str">
        <x:v>34: Distance-Time Graph Builder</x:v>
      </x:c>
      <x:c r="L36" s="21" t="str">
        <x:v>High</x:v>
      </x:c>
      <x:c r="M36" s="21" t="str">
        <x:v>NCERT NCF School Education 2023 • CBSE Curriculum 2026-27 • Kerala SCERT Curriculum 2024</x:v>
      </x:c>
      <x:c r="N36" s="21" t="str">
        <x:v>https://ncert.nic.in/focus-group.php?ln=en • https://cbseacademic.nic.in/curriculum_2027.html • https://scert.kerala.gov.in/curriculum-2024/</x:v>
      </x:c>
      <x:c r="O36" s="21" t="str">
        <x:v>Normalized gap: confirm exact placement against the adopting board/university's latest detailed syllabus.</x:v>
      </x:c>
    </x:row>
    <x:row r="37">
      <x:c r="A37" s="22" t="n">
        <x:v>113</x:v>
      </x:c>
      <x:c r="B37" s="21" t="str">
        <x:v>Middle</x:v>
      </x:c>
      <x:c r="C37" s="21" t="str">
        <x:v>Grades 6–8</x:v>
      </x:c>
      <x:c r="D37" s="21" t="str">
        <x:v>CBSE/CISCE/State middle-stage science</x:v>
      </x:c>
      <x:c r="E37" s="21" t="str">
        <x:v>Fluid Mechanics</x:v>
      </x:c>
      <x:c r="F37" s="21" t="str">
        <x:v>Pressure</x:v>
      </x:c>
      <x:c r="G37" s="21" t="str">
        <x:v>Pressure in Liquids, Gases and Atmosphere</x:v>
      </x:c>
      <x:c r="H37" s="21" t="str">
        <x:v>pressure transmission; atmospheric pressure; barometer</x:v>
      </x:c>
      <x:c r="I37" s="21" t="str">
        <x:v>Cartesian diver and suction demonstrations</x:v>
      </x:c>
      <x:c r="J37" s="21" t="str">
        <x:v>Partial</x:v>
      </x:c>
      <x:c r="K37" s="21" t="str">
        <x:v>24: Fluid Pressure with Depth</x:v>
      </x:c>
      <x:c r="L37" s="21" t="str">
        <x:v>High</x:v>
      </x:c>
      <x:c r="M37" s="21" t="str">
        <x:v>NCERT NCF School Education 2023 • CBSE Curriculum 2026-27 • Kerala SCERT Curriculum 2024</x:v>
      </x:c>
      <x:c r="N37" s="21" t="str">
        <x:v>https://ncert.nic.in/focus-group.php?ln=en • https://cbseacademic.nic.in/curriculum_2027.html • https://scert.kerala.gov.in/curriculum-2024/</x:v>
      </x:c>
      <x:c r="O37" s="21" t="str">
        <x:v>Normalized gap: confirm exact placement against the adopting board/university's latest detailed syllabus.</x:v>
      </x:c>
    </x:row>
    <x:row r="38">
      <x:c r="A38" s="22" t="n">
        <x:v>114</x:v>
      </x:c>
      <x:c r="B38" s="21" t="str">
        <x:v>Middle</x:v>
      </x:c>
      <x:c r="C38" s="21" t="str">
        <x:v>Grades 6–8</x:v>
      </x:c>
      <x:c r="D38" s="21" t="str">
        <x:v>CBSE/CISCE/State middle-stage science</x:v>
      </x:c>
      <x:c r="E38" s="21" t="str">
        <x:v>Fluid Mechanics</x:v>
      </x:c>
      <x:c r="F38" s="21" t="str">
        <x:v>Fluid statics</x:v>
      </x:c>
      <x:c r="G38" s="21" t="str">
        <x:v>Pascal's Law and Hydraulic Machines</x:v>
      </x:c>
      <x:c r="H38" s="21" t="str">
        <x:v>pressure transmission; force multiplication</x:v>
      </x:c>
      <x:c r="I38" s="21" t="str">
        <x:v>Syringe hydraulic lift</x:v>
      </x:c>
      <x:c r="J38" s="21" t="str">
        <x:v>Partial</x:v>
      </x:c>
      <x:c r="K38" s="21" t="str">
        <x:v>24: Fluid Pressure with Depth</x:v>
      </x:c>
      <x:c r="L38" s="21" t="str">
        <x:v>High</x:v>
      </x:c>
      <x:c r="M38" s="21" t="str">
        <x:v>NCERT NCF School Education 2023 • CBSE Curriculum 2026-27 • Kerala SCERT Curriculum 2024</x:v>
      </x:c>
      <x:c r="N38" s="21" t="str">
        <x:v>https://ncert.nic.in/focus-group.php?ln=en • https://cbseacademic.nic.in/curriculum_2027.html • https://scert.kerala.gov.in/curriculum-2024/</x:v>
      </x:c>
      <x:c r="O38" s="21" t="str">
        <x:v>Normalized gap: confirm exact placement against the adopting board/university's latest detailed syllabus.</x:v>
      </x:c>
    </x:row>
    <x:row r="39">
      <x:c r="A39" s="22" t="n">
        <x:v>115</x:v>
      </x:c>
      <x:c r="B39" s="21" t="str">
        <x:v>Middle</x:v>
      </x:c>
      <x:c r="C39" s="21" t="str">
        <x:v>Grades 6–8</x:v>
      </x:c>
      <x:c r="D39" s="21" t="str">
        <x:v>CBSE/CISCE/State middle-stage science</x:v>
      </x:c>
      <x:c r="E39" s="21" t="str">
        <x:v>Fluid Mechanics</x:v>
      </x:c>
      <x:c r="F39" s="21" t="str">
        <x:v>Buoyancy</x:v>
      </x:c>
      <x:c r="G39" s="21" t="str">
        <x:v>Archimedes' Principle and Relative Density</x:v>
      </x:c>
      <x:c r="H39" s="21" t="str">
        <x:v>upthrust; displaced fluid; relative density</x:v>
      </x:c>
      <x:c r="I39" s="21" t="str">
        <x:v>Overflow-can buoyancy measurement</x:v>
      </x:c>
      <x:c r="J39" s="21" t="str">
        <x:v>Partial</x:v>
      </x:c>
      <x:c r="K39" s="21" t="str">
        <x:v>22: Buoyancy</x:v>
      </x:c>
      <x:c r="L39" s="21" t="str">
        <x:v>High</x:v>
      </x:c>
      <x:c r="M39" s="21" t="str">
        <x:v>NCERT NCF School Education 2023 • CBSE Curriculum 2026-27 • Kerala SCERT Curriculum 2024</x:v>
      </x:c>
      <x:c r="N39" s="21" t="str">
        <x:v>https://ncert.nic.in/focus-group.php?ln=en • https://cbseacademic.nic.in/curriculum_2027.html • https://scert.kerala.gov.in/curriculum-2024/</x:v>
      </x:c>
      <x:c r="O39" s="21" t="str">
        <x:v>Normalized gap: confirm exact placement against the adopting board/university's latest detailed syllabus.</x:v>
      </x:c>
    </x:row>
    <x:row r="40">
      <x:c r="A40" s="22" t="n">
        <x:v>116</x:v>
      </x:c>
      <x:c r="B40" s="21" t="str">
        <x:v>Middle</x:v>
      </x:c>
      <x:c r="C40" s="21" t="str">
        <x:v>Grades 6–8</x:v>
      </x:c>
      <x:c r="D40" s="21" t="str">
        <x:v>CBSE/CISCE/State middle-stage science</x:v>
      </x:c>
      <x:c r="E40" s="21" t="str">
        <x:v>Optics</x:v>
      </x:c>
      <x:c r="F40" s="21" t="str">
        <x:v>Geometrical optics</x:v>
      </x:c>
      <x:c r="G40" s="21" t="str">
        <x:v>Spherical Mirrors and Ray Diagrams</x:v>
      </x:c>
      <x:c r="H40" s="21" t="str">
        <x:v>principal rays; image position; magnification</x:v>
      </x:c>
      <x:c r="I40" s="21" t="str">
        <x:v>Ray-box concave/convex mirror lab</x:v>
      </x:c>
      <x:c r="J40" s="21" t="str">
        <x:v>Partial</x:v>
      </x:c>
      <x:c r="K40" s="21" t="str">
        <x:v>58: Mirror Formula</x:v>
      </x:c>
      <x:c r="L40" s="21" t="str">
        <x:v>High</x:v>
      </x:c>
      <x:c r="M40" s="21" t="str">
        <x:v>NCERT NCF School Education 2023 • CBSE Curriculum 2026-27 • Kerala SCERT Curriculum 2024</x:v>
      </x:c>
      <x:c r="N40" s="21" t="str">
        <x:v>https://ncert.nic.in/focus-group.php?ln=en • https://cbseacademic.nic.in/curriculum_2027.html • https://scert.kerala.gov.in/curriculum-2024/</x:v>
      </x:c>
      <x:c r="O40" s="21" t="str">
        <x:v>Normalized gap: confirm exact placement against the adopting board/university's latest detailed syllabus.</x:v>
      </x:c>
    </x:row>
    <x:row r="41">
      <x:c r="A41" s="22" t="n">
        <x:v>117</x:v>
      </x:c>
      <x:c r="B41" s="21" t="str">
        <x:v>Middle</x:v>
      </x:c>
      <x:c r="C41" s="21" t="str">
        <x:v>Grades 6–8</x:v>
      </x:c>
      <x:c r="D41" s="21" t="str">
        <x:v>CBSE/CISCE/State middle-stage science</x:v>
      </x:c>
      <x:c r="E41" s="21" t="str">
        <x:v>Optics</x:v>
      </x:c>
      <x:c r="F41" s="21" t="str">
        <x:v>Geometrical optics</x:v>
      </x:c>
      <x:c r="G41" s="21" t="str">
        <x:v>Lenses and Everyday Optical Devices</x:v>
      </x:c>
      <x:c r="H41" s="21" t="str">
        <x:v>convex/concave lenses; focus; cameras; spectacles</x:v>
      </x:c>
      <x:c r="I41" s="21" t="str">
        <x:v>Lens image screen investigation</x:v>
      </x:c>
      <x:c r="J41" s="21" t="str">
        <x:v>Partial</x:v>
      </x:c>
      <x:c r="K41" s="21" t="str">
        <x:v>56: Lens Formula</x:v>
      </x:c>
      <x:c r="L41" s="21" t="str">
        <x:v>High</x:v>
      </x:c>
      <x:c r="M41" s="21" t="str">
        <x:v>NCERT NCF School Education 2023 • CBSE Curriculum 2026-27 • Kerala SCERT Curriculum 2024</x:v>
      </x:c>
      <x:c r="N41" s="21" t="str">
        <x:v>https://ncert.nic.in/focus-group.php?ln=en • https://cbseacademic.nic.in/curriculum_2027.html • https://scert.kerala.gov.in/curriculum-2024/</x:v>
      </x:c>
      <x:c r="O41" s="21" t="str">
        <x:v>Normalized gap: confirm exact placement against the adopting board/university's latest detailed syllabus.</x:v>
      </x:c>
    </x:row>
    <x:row r="42">
      <x:c r="A42" s="22" t="n">
        <x:v>118</x:v>
      </x:c>
      <x:c r="B42" s="21" t="str">
        <x:v>Middle</x:v>
      </x:c>
      <x:c r="C42" s="21" t="str">
        <x:v>Grades 6–8</x:v>
      </x:c>
      <x:c r="D42" s="21" t="str">
        <x:v>CBSE/CISCE/State middle-stage science</x:v>
      </x:c>
      <x:c r="E42" s="21" t="str">
        <x:v>Waves</x:v>
      </x:c>
      <x:c r="F42" s="21" t="str">
        <x:v>Sound and hearing</x:v>
      </x:c>
      <x:c r="G42" s="21" t="str">
        <x:v>Human Voice, Ear and Hearing Range</x:v>
      </x:c>
      <x:c r="H42" s="21" t="str">
        <x:v>vocal cords; ear pathway; audible range; hearing care</x:v>
      </x:c>
      <x:c r="I42" s="21" t="str">
        <x:v>Frequency hearing demo and ear model</x:v>
      </x:c>
      <x:c r="J42" s="21" t="str">
        <x:v>Partial</x:v>
      </x:c>
      <x:c r="K42" s="21" t="str">
        <x:v>77: Sound Pitch and Loudness</x:v>
      </x:c>
      <x:c r="L42" s="21" t="str">
        <x:v>High</x:v>
      </x:c>
      <x:c r="M42" s="21" t="str">
        <x:v>NCERT NCF School Education 2023 • CBSE Curriculum 2026-27 • Kerala SCERT Curriculum 2024</x:v>
      </x:c>
      <x:c r="N42" s="21" t="str">
        <x:v>https://ncert.nic.in/focus-group.php?ln=en • https://cbseacademic.nic.in/curriculum_2027.html • https://scert.kerala.gov.in/curriculum-2024/</x:v>
      </x:c>
      <x:c r="O42" s="21" t="str">
        <x:v>Normalized gap: confirm exact placement against the adopting board/university's latest detailed syllabus.</x:v>
      </x:c>
    </x:row>
    <x:row r="43">
      <x:c r="A43" s="22" t="n">
        <x:v>119</x:v>
      </x:c>
      <x:c r="B43" s="21" t="str">
        <x:v>Middle</x:v>
      </x:c>
      <x:c r="C43" s="21" t="str">
        <x:v>Grades 6–8</x:v>
      </x:c>
      <x:c r="D43" s="21" t="str">
        <x:v>CBSE/CISCE/State middle-stage science</x:v>
      </x:c>
      <x:c r="E43" s="21" t="str">
        <x:v>Waves</x:v>
      </x:c>
      <x:c r="F43" s="21" t="str">
        <x:v>Sound applications</x:v>
      </x:c>
      <x:c r="G43" s="21" t="str">
        <x:v>Ultrasound and SONAR</x:v>
      </x:c>
      <x:c r="H43" s="21" t="str">
        <x:v>ultrasonic waves; echo ranging; imaging</x:v>
      </x:c>
      <x:c r="I43" s="21" t="str">
        <x:v>Virtual pulse-echo depth finder</x:v>
      </x:c>
      <x:c r="J43" s="21" t="str">
        <x:v>Partial</x:v>
      </x:c>
      <x:c r="K43" s="21" t="str">
        <x:v>72: Echo and Speed of Sound</x:v>
      </x:c>
      <x:c r="L43" s="21" t="str">
        <x:v>Medium</x:v>
      </x:c>
      <x:c r="M43" s="21" t="str">
        <x:v>NCERT NCF School Education 2023 • CBSE Curriculum 2026-27 • Kerala SCERT Curriculum 2024</x:v>
      </x:c>
      <x:c r="N43" s="21" t="str">
        <x:v>https://ncert.nic.in/focus-group.php?ln=en • https://cbseacademic.nic.in/curriculum_2027.html • https://scert.kerala.gov.in/curriculum-2024/</x:v>
      </x:c>
      <x:c r="O43" s="21" t="str">
        <x:v>Normalized gap: confirm exact placement against the adopting board/university's latest detailed syllabus.</x:v>
      </x:c>
    </x:row>
    <x:row r="44">
      <x:c r="A44" s="22" t="n">
        <x:v>120</x:v>
      </x:c>
      <x:c r="B44" s="21" t="str">
        <x:v>Middle</x:v>
      </x:c>
      <x:c r="C44" s="21" t="str">
        <x:v>Grades 6–8</x:v>
      </x:c>
      <x:c r="D44" s="21" t="str">
        <x:v>CBSE/CISCE/State middle-stage science</x:v>
      </x:c>
      <x:c r="E44" s="21" t="str">
        <x:v>Electricity</x:v>
      </x:c>
      <x:c r="F44" s="21" t="str">
        <x:v>Electrostatics</x:v>
      </x:c>
      <x:c r="G44" s="21" t="str">
        <x:v>Electroscope and Charging Methods</x:v>
      </x:c>
      <x:c r="H44" s="21" t="str">
        <x:v>friction; conduction; induction; charge detection</x:v>
      </x:c>
      <x:c r="I44" s="21" t="str">
        <x:v>Leaf electroscope and induction lab</x:v>
      </x:c>
      <x:c r="J44" s="21" t="str">
        <x:v>Partial</x:v>
      </x:c>
      <x:c r="K44" s="21" t="str">
        <x:v>16: Static Electricity and Lightning</x:v>
      </x:c>
      <x:c r="L44" s="21" t="str">
        <x:v>High</x:v>
      </x:c>
      <x:c r="M44" s="21" t="str">
        <x:v>NCERT NCF School Education 2023 • CBSE Curriculum 2026-27 • Kerala SCERT Curriculum 2024</x:v>
      </x:c>
      <x:c r="N44" s="21" t="str">
        <x:v>https://ncert.nic.in/focus-group.php?ln=en • https://cbseacademic.nic.in/curriculum_2027.html • https://scert.kerala.gov.in/curriculum-2024/</x:v>
      </x:c>
      <x:c r="O44" s="21" t="str">
        <x:v>Normalized gap: confirm exact placement against the adopting board/university's latest detailed syllabus.</x:v>
      </x:c>
    </x:row>
    <x:row r="45">
      <x:c r="A45" s="22" t="n">
        <x:v>121</x:v>
      </x:c>
      <x:c r="B45" s="21" t="str">
        <x:v>Middle</x:v>
      </x:c>
      <x:c r="C45" s="21" t="str">
        <x:v>Grades 6–8</x:v>
      </x:c>
      <x:c r="D45" s="21" t="str">
        <x:v>CBSE/CISCE/State middle-stage science</x:v>
      </x:c>
      <x:c r="E45" s="21" t="str">
        <x:v>Electricity</x:v>
      </x:c>
      <x:c r="F45" s="21" t="str">
        <x:v>Domestic electricity</x:v>
      </x:c>
      <x:c r="G45" s="21" t="str">
        <x:v>Electrical Safety: Fuse, MCB and Earthing</x:v>
      </x:c>
      <x:c r="H45" s="21" t="str">
        <x:v>overload; short circuit; fuse; MCB; earth wire</x:v>
      </x:c>
      <x:c r="I45" s="21" t="str">
        <x:v>Fault-current safety simulator</x:v>
      </x:c>
      <x:c r="J45" s="21" t="str">
        <x:v>Partial</x:v>
      </x:c>
      <x:c r="K45" s="21" t="str">
        <x:v>11: Heating Effect of Current</x:v>
      </x:c>
      <x:c r="L45" s="21" t="str">
        <x:v>Critical</x:v>
      </x:c>
      <x:c r="M45" s="21" t="str">
        <x:v>NCERT NCF School Education 2023 • CBSE Curriculum 2026-27 • Kerala SCERT Curriculum 2024</x:v>
      </x:c>
      <x:c r="N45" s="21" t="str">
        <x:v>https://ncert.nic.in/focus-group.php?ln=en • https://cbseacademic.nic.in/curriculum_2027.html • https://scert.kerala.gov.in/curriculum-2024/</x:v>
      </x:c>
      <x:c r="O45" s="21" t="str">
        <x:v>Normalized gap: confirm exact placement against the adopting board/university's latest detailed syllabus.</x:v>
      </x:c>
    </x:row>
    <x:row r="46">
      <x:c r="A46" s="22" t="n">
        <x:v>122</x:v>
      </x:c>
      <x:c r="B46" s="21" t="str">
        <x:v>Middle</x:v>
      </x:c>
      <x:c r="C46" s="21" t="str">
        <x:v>Grades 6–8</x:v>
      </x:c>
      <x:c r="D46" s="21" t="str">
        <x:v>CBSE/CISCE/State middle-stage science</x:v>
      </x:c>
      <x:c r="E46" s="21" t="str">
        <x:v>Magnetism</x:v>
      </x:c>
      <x:c r="F46" s="21" t="str">
        <x:v>Electromagnetism</x:v>
      </x:c>
      <x:c r="G46" s="21" t="str">
        <x:v>Electric Motor: Force on a Current</x:v>
      </x:c>
      <x:c r="H46" s="21" t="str">
        <x:v>motor effect; coil; commutator; energy conversion</x:v>
      </x:c>
      <x:c r="I46" s="21" t="str">
        <x:v>Build a simple DC motor</x:v>
      </x:c>
      <x:c r="J46" s="21" t="str">
        <x:v>Partial</x:v>
      </x:c>
      <x:c r="K46" s="21" t="str">
        <x:v>27: Lorentz Force on Moving Charge</x:v>
      </x:c>
      <x:c r="L46" s="21" t="str">
        <x:v>Critical</x:v>
      </x:c>
      <x:c r="M46" s="21" t="str">
        <x:v>NCERT NCF School Education 2023 • CBSE Curriculum 2026-27 • Kerala SCERT Curriculum 2024</x:v>
      </x:c>
      <x:c r="N46" s="21" t="str">
        <x:v>https://ncert.nic.in/focus-group.php?ln=en • https://cbseacademic.nic.in/curriculum_2027.html • https://scert.kerala.gov.in/curriculum-2024/</x:v>
      </x:c>
      <x:c r="O46" s="21" t="str">
        <x:v>Normalized gap: confirm exact placement against the adopting board/university's latest detailed syllabus.</x:v>
      </x:c>
    </x:row>
    <x:row r="47">
      <x:c r="A47" s="22" t="n">
        <x:v>123</x:v>
      </x:c>
      <x:c r="B47" s="21" t="str">
        <x:v>Middle</x:v>
      </x:c>
      <x:c r="C47" s="21" t="str">
        <x:v>Grades 6–8</x:v>
      </x:c>
      <x:c r="D47" s="21" t="str">
        <x:v>CBSE/CISCE/State middle-stage science</x:v>
      </x:c>
      <x:c r="E47" s="21" t="str">
        <x:v>Electricity</x:v>
      </x:c>
      <x:c r="F47" s="21" t="str">
        <x:v>Electromagnetic induction</x:v>
      </x:c>
      <x:c r="G47" s="21" t="str">
        <x:v>Generator and Electromagnetic Induction Foundations</x:v>
      </x:c>
      <x:c r="H47" s="21" t="str">
        <x:v>changing flux; induced current; generator principle</x:v>
      </x:c>
      <x:c r="I47" s="21" t="str">
        <x:v>Hand-crank generator investigation</x:v>
      </x:c>
      <x:c r="J47" s="21" t="str">
        <x:v>Partial</x:v>
      </x:c>
      <x:c r="K47" s="21" t="str">
        <x:v>3: AC Generator</x:v>
      </x:c>
      <x:c r="L47" s="21" t="str">
        <x:v>High</x:v>
      </x:c>
      <x:c r="M47" s="21" t="str">
        <x:v>NCERT NCF School Education 2023 • CBSE Curriculum 2026-27 • Kerala SCERT Curriculum 2024</x:v>
      </x:c>
      <x:c r="N47" s="21" t="str">
        <x:v>https://ncert.nic.in/focus-group.php?ln=en • https://cbseacademic.nic.in/curriculum_2027.html • https://scert.kerala.gov.in/curriculum-2024/</x:v>
      </x:c>
      <x:c r="O47" s="21" t="str">
        <x:v>Normalized gap: confirm exact placement against the adopting board/university's latest detailed syllabus.</x:v>
      </x:c>
    </x:row>
    <x:row r="48">
      <x:c r="A48" s="22" t="n">
        <x:v>124</x:v>
      </x:c>
      <x:c r="B48" s="21" t="str">
        <x:v>Middle</x:v>
      </x:c>
      <x:c r="C48" s="21" t="str">
        <x:v>Grades 6–8</x:v>
      </x:c>
      <x:c r="D48" s="21" t="str">
        <x:v>CBSE/CISCE/State middle-stage science</x:v>
      </x:c>
      <x:c r="E48" s="21" t="str">
        <x:v>Waves</x:v>
      </x:c>
      <x:c r="F48" s="21" t="str">
        <x:v>Earth physics</x:v>
      </x:c>
      <x:c r="G48" s="21" t="str">
        <x:v>Earthquakes, Seismic Waves and Safety</x:v>
      </x:c>
      <x:c r="H48" s="21" t="str">
        <x:v>P/S waves; epicentre; magnitude; preparedness</x:v>
      </x:c>
      <x:c r="I48" s="21" t="str">
        <x:v>Virtual seismograph and triangulation lab</x:v>
      </x:c>
      <x:c r="J48" s="21" t="str">
        <x:v>Partial</x:v>
      </x:c>
      <x:c r="K48" s="21" t="str">
        <x:v>79: Wave Lab</x:v>
      </x:c>
      <x:c r="L48" s="21" t="str">
        <x:v>High</x:v>
      </x:c>
      <x:c r="M48" s="21" t="str">
        <x:v>NCERT NCF School Education 2023 • CBSE Curriculum 2026-27 • Kerala SCERT Curriculum 2024</x:v>
      </x:c>
      <x:c r="N48" s="21" t="str">
        <x:v>https://ncert.nic.in/focus-group.php?ln=en • https://cbseacademic.nic.in/curriculum_2027.html • https://scert.kerala.gov.in/curriculum-2024/</x:v>
      </x:c>
      <x:c r="O48" s="21" t="str">
        <x:v>Normalized gap: confirm exact placement against the adopting board/university's latest detailed syllabus.</x:v>
      </x:c>
    </x:row>
    <x:row r="49">
      <x:c r="A49" s="22" t="n">
        <x:v>125</x:v>
      </x:c>
      <x:c r="B49" s="21" t="str">
        <x:v>Middle</x:v>
      </x:c>
      <x:c r="C49" s="21" t="str">
        <x:v>Grades 6–8</x:v>
      </x:c>
      <x:c r="D49" s="21" t="str">
        <x:v>CBSE/CISCE/State middle-stage science</x:v>
      </x:c>
      <x:c r="E49" s="21" t="str">
        <x:v>Mechanics</x:v>
      </x:c>
      <x:c r="F49" s="21" t="str">
        <x:v>Work and machines</x:v>
      </x:c>
      <x:c r="G49" s="21" t="str">
        <x:v>Efficiency and Mechanical Advantage</x:v>
      </x:c>
      <x:c r="H49" s="21" t="str">
        <x:v>input/output work; efficiency; mechanical advantage</x:v>
      </x:c>
      <x:c r="I49" s="21" t="str">
        <x:v>Pulley efficiency investigation</x:v>
      </x:c>
      <x:c r="J49" s="21" t="str">
        <x:v>Partial</x:v>
      </x:c>
      <x:c r="K49" s="21" t="str">
        <x:v>47: Work and Power</x:v>
      </x:c>
      <x:c r="L49" s="21" t="str">
        <x:v>High</x:v>
      </x:c>
      <x:c r="M49" s="21" t="str">
        <x:v>NCERT NCF School Education 2023 • CBSE Curriculum 2026-27 • Kerala SCERT Curriculum 2024</x:v>
      </x:c>
      <x:c r="N49" s="21" t="str">
        <x:v>https://ncert.nic.in/focus-group.php?ln=en • https://cbseacademic.nic.in/curriculum_2027.html • https://scert.kerala.gov.in/curriculum-2024/</x:v>
      </x:c>
      <x:c r="O49" s="21" t="str">
        <x:v>Normalized gap: confirm exact placement against the adopting board/university's latest detailed syllabus.</x:v>
      </x:c>
    </x:row>
    <x:row r="50">
      <x:c r="A50" s="22" t="n">
        <x:v>126</x:v>
      </x:c>
      <x:c r="B50" s="21" t="str">
        <x:v>Secondary</x:v>
      </x:c>
      <x:c r="C50" s="21" t="str">
        <x:v>Grades 9–10</x:v>
      </x:c>
      <x:c r="D50" s="21" t="str">
        <x:v>CBSE Science; ICSE Physics; State-board science</x:v>
      </x:c>
      <x:c r="E50" s="21" t="str">
        <x:v>Mechanics</x:v>
      </x:c>
      <x:c r="F50" s="21" t="str">
        <x:v>Kinematics</x:v>
      </x:c>
      <x:c r="G50" s="21" t="str">
        <x:v>Equations of Uniformly Accelerated Motion</x:v>
      </x:c>
      <x:c r="H50" s="21" t="str">
        <x:v>derivation and application of motion equations</x:v>
      </x:c>
      <x:c r="I50" s="21" t="str">
        <x:v>Ticker-tape/video data fit</x:v>
      </x:c>
      <x:c r="J50" s="21" t="str">
        <x:v>Partial</x:v>
      </x:c>
      <x:c r="K50" s="21" t="str">
        <x:v>45: Uniform Motion</x:v>
      </x:c>
      <x:c r="L50" s="21" t="str">
        <x:v>Critical</x:v>
      </x:c>
      <x:c r="M50" s="21" t="str">
        <x:v>CBSE Curriculum 2026-27 • CISCE ICSE Physics, Examination Year 2027 • NCERT NCF School Education 2023 • Kerala SCERT Curriculum 2024</x:v>
      </x:c>
      <x:c r="N50" s="21" t="str">
        <x:v>https://cbseacademic.nic.in/curriculum_2027.html • https://cisce.org/wp-content/uploads/2025/03/10.-Physics.pdf • https://ncert.nic.in/focus-group.php?ln=en • https://scert.kerala.gov.in/curriculum-2024/</x:v>
      </x:c>
      <x:c r="O50" s="21" t="str">
        <x:v>Normalized gap: confirm exact placement against the adopting board/university's latest detailed syllabus.</x:v>
      </x:c>
    </x:row>
    <x:row r="51">
      <x:c r="A51" s="22" t="n">
        <x:v>127</x:v>
      </x:c>
      <x:c r="B51" s="21" t="str">
        <x:v>Secondary</x:v>
      </x:c>
      <x:c r="C51" s="21" t="str">
        <x:v>Grades 9–10</x:v>
      </x:c>
      <x:c r="D51" s="21" t="str">
        <x:v>CBSE Science; ICSE Physics; State-board science</x:v>
      </x:c>
      <x:c r="E51" s="21" t="str">
        <x:v>Mechanics</x:v>
      </x:c>
      <x:c r="F51" s="21" t="str">
        <x:v>Dynamics</x:v>
      </x:c>
      <x:c r="G51" s="21" t="str">
        <x:v>Momentum, Impulse and Conservation</x:v>
      </x:c>
      <x:c r="H51" s="21" t="str">
        <x:v>momentum; impulse; conservation; recoil</x:v>
      </x:c>
      <x:c r="I51" s="21" t="str">
        <x:v>Low-friction cart collision lab</x:v>
      </x:c>
      <x:c r="J51" s="21" t="str">
        <x:v>Partial</x:v>
      </x:c>
      <x:c r="K51" s="21" t="str">
        <x:v>35: Elastic Collision</x:v>
      </x:c>
      <x:c r="L51" s="21" t="str">
        <x:v>Critical</x:v>
      </x:c>
      <x:c r="M51" s="21" t="str">
        <x:v>CBSE Curriculum 2026-27 • CISCE ICSE Physics, Examination Year 2027 • NCERT NCF School Education 2023 • Kerala SCERT Curriculum 2024</x:v>
      </x:c>
      <x:c r="N51" s="21" t="str">
        <x:v>https://cbseacademic.nic.in/curriculum_2027.html • https://cisce.org/wp-content/uploads/2025/03/10.-Physics.pdf • https://ncert.nic.in/focus-group.php?ln=en • https://scert.kerala.gov.in/curriculum-2024/</x:v>
      </x:c>
      <x:c r="O51" s="21" t="str">
        <x:v>Normalized gap: confirm exact placement against the adopting board/university's latest detailed syllabus.</x:v>
      </x:c>
    </x:row>
    <x:row r="52">
      <x:c r="A52" s="22" t="n">
        <x:v>128</x:v>
      </x:c>
      <x:c r="B52" s="21" t="str">
        <x:v>Secondary</x:v>
      </x:c>
      <x:c r="C52" s="21" t="str">
        <x:v>Grades 9–10</x:v>
      </x:c>
      <x:c r="D52" s="21" t="str">
        <x:v>CBSE Science; ICSE Physics; State-board science</x:v>
      </x:c>
      <x:c r="E52" s="21" t="str">
        <x:v>Mechanics</x:v>
      </x:c>
      <x:c r="F52" s="21" t="str">
        <x:v>Gravitation</x:v>
      </x:c>
      <x:c r="G52" s="21" t="str">
        <x:v>Gravitational Potential Energy and Free-Fall Graphs</x:v>
      </x:c>
      <x:c r="H52" s="21" t="str">
        <x:v>g; potential energy; kinematics of fall</x:v>
      </x:c>
      <x:c r="I52" s="21" t="str">
        <x:v>Drop-timer and energy graph lab</x:v>
      </x:c>
      <x:c r="J52" s="21" t="str">
        <x:v>Partial</x:v>
      </x:c>
      <x:c r="K52" s="21" t="str">
        <x:v>36: Free Fall</x:v>
      </x:c>
      <x:c r="L52" s="21" t="str">
        <x:v>High</x:v>
      </x:c>
      <x:c r="M52" s="21" t="str">
        <x:v>CBSE Curriculum 2026-27 • CISCE ICSE Physics, Examination Year 2027 • NCERT NCF School Education 2023 • Kerala SCERT Curriculum 2024</x:v>
      </x:c>
      <x:c r="N52" s="21" t="str">
        <x:v>https://cbseacademic.nic.in/curriculum_2027.html • https://cisce.org/wp-content/uploads/2025/03/10.-Physics.pdf • https://ncert.nic.in/focus-group.php?ln=en • https://scert.kerala.gov.in/curriculum-2024/</x:v>
      </x:c>
      <x:c r="O52" s="21" t="str">
        <x:v>Normalized gap: confirm exact placement against the adopting board/university's latest detailed syllabus.</x:v>
      </x:c>
    </x:row>
    <x:row r="53">
      <x:c r="A53" s="22" t="n">
        <x:v>129</x:v>
      </x:c>
      <x:c r="B53" s="21" t="str">
        <x:v>Secondary</x:v>
      </x:c>
      <x:c r="C53" s="21" t="str">
        <x:v>Grades 9–10</x:v>
      </x:c>
      <x:c r="D53" s="21" t="str">
        <x:v>CBSE Science; ICSE Physics; State-board science</x:v>
      </x:c>
      <x:c r="E53" s="21" t="str">
        <x:v>Mechanics</x:v>
      </x:c>
      <x:c r="F53" s="21" t="str">
        <x:v>Energy</x:v>
      </x:c>
      <x:c r="G53" s="21" t="str">
        <x:v>Work-Energy Theorem</x:v>
      </x:c>
      <x:c r="H53" s="21" t="str">
        <x:v>net work; kinetic energy change; sign of work</x:v>
      </x:c>
      <x:c r="I53" s="21" t="str">
        <x:v>Cart-on-track work-energy test</x:v>
      </x:c>
      <x:c r="J53" s="21" t="str">
        <x:v>Partial</x:v>
      </x:c>
      <x:c r="K53" s="21" t="str">
        <x:v>47: Work and Power</x:v>
      </x:c>
      <x:c r="L53" s="21" t="str">
        <x:v>High</x:v>
      </x:c>
      <x:c r="M53" s="21" t="str">
        <x:v>CBSE Curriculum 2026-27 • CISCE ICSE Physics, Examination Year 2027 • NCERT NCF School Education 2023 • Kerala SCERT Curriculum 2024</x:v>
      </x:c>
      <x:c r="N53" s="21" t="str">
        <x:v>https://cbseacademic.nic.in/curriculum_2027.html • https://cisce.org/wp-content/uploads/2025/03/10.-Physics.pdf • https://ncert.nic.in/focus-group.php?ln=en • https://scert.kerala.gov.in/curriculum-2024/</x:v>
      </x:c>
      <x:c r="O53" s="21" t="str">
        <x:v>Normalized gap: confirm exact placement against the adopting board/university's latest detailed syllabus.</x:v>
      </x:c>
    </x:row>
    <x:row r="54">
      <x:c r="A54" s="22" t="n">
        <x:v>130</x:v>
      </x:c>
      <x:c r="B54" s="21" t="str">
        <x:v>Secondary</x:v>
      </x:c>
      <x:c r="C54" s="21" t="str">
        <x:v>Grades 9–10</x:v>
      </x:c>
      <x:c r="D54" s="21" t="str">
        <x:v>CBSE Science; ICSE Physics; State-board science</x:v>
      </x:c>
      <x:c r="E54" s="21" t="str">
        <x:v>Waves</x:v>
      </x:c>
      <x:c r="F54" s="21" t="str">
        <x:v>Sound</x:v>
      </x:c>
      <x:c r="G54" s="21" t="str">
        <x:v>Sound Wave Equation and Resonance</x:v>
      </x:c>
      <x:c r="H54" s="21" t="str">
        <x:v>v=fλ; amplitude/frequency; resonance</x:v>
      </x:c>
      <x:c r="I54" s="21" t="str">
        <x:v>Resonance tube or string lab</x:v>
      </x:c>
      <x:c r="J54" s="21" t="str">
        <x:v>Partial</x:v>
      </x:c>
      <x:c r="K54" s="21" t="str">
        <x:v>79: Wave Lab</x:v>
      </x:c>
      <x:c r="L54" s="21" t="str">
        <x:v>High</x:v>
      </x:c>
      <x:c r="M54" s="21" t="str">
        <x:v>CBSE Curriculum 2026-27 • CISCE ICSE Physics, Examination Year 2027 • NCERT NCF School Education 2023 • Kerala SCERT Curriculum 2024</x:v>
      </x:c>
      <x:c r="N54" s="21" t="str">
        <x:v>https://cbseacademic.nic.in/curriculum_2027.html • https://cisce.org/wp-content/uploads/2025/03/10.-Physics.pdf • https://ncert.nic.in/focus-group.php?ln=en • https://scert.kerala.gov.in/curriculum-2024/</x:v>
      </x:c>
      <x:c r="O54" s="21" t="str">
        <x:v>Normalized gap: confirm exact placement against the adopting board/university's latest detailed syllabus.</x:v>
      </x:c>
    </x:row>
    <x:row r="55">
      <x:c r="A55" s="22" t="n">
        <x:v>131</x:v>
      </x:c>
      <x:c r="B55" s="21" t="str">
        <x:v>Secondary</x:v>
      </x:c>
      <x:c r="C55" s="21" t="str">
        <x:v>Grades 9–10</x:v>
      </x:c>
      <x:c r="D55" s="21" t="str">
        <x:v>CBSE Science; ICSE Physics; State-board science</x:v>
      </x:c>
      <x:c r="E55" s="21" t="str">
        <x:v>Electricity</x:v>
      </x:c>
      <x:c r="F55" s="21" t="str">
        <x:v>Domestic electricity</x:v>
      </x:c>
      <x:c r="G55" s="21" t="str">
        <x:v>Domestic Electric Wiring and Power Billing</x:v>
      </x:c>
      <x:c r="H55" s="21" t="str">
        <x:v>parallel wiring; live/neutral/earth; kWh; safety</x:v>
      </x:c>
      <x:c r="I55" s="21" t="str">
        <x:v>Virtual home wiring and bill calculator</x:v>
      </x:c>
      <x:c r="J55" s="21" t="str">
        <x:v>Partial</x:v>
      </x:c>
      <x:c r="K55" s="21" t="str">
        <x:v>8: Electric Power and Energy</x:v>
      </x:c>
      <x:c r="L55" s="21" t="str">
        <x:v>Critical</x:v>
      </x:c>
      <x:c r="M55" s="21" t="str">
        <x:v>CBSE Curriculum 2026-27 • CISCE ICSE Physics, Examination Year 2027 • NCERT NCF School Education 2023 • Kerala SCERT Curriculum 2024</x:v>
      </x:c>
      <x:c r="N55" s="21" t="str">
        <x:v>https://cbseacademic.nic.in/curriculum_2027.html • https://cisce.org/wp-content/uploads/2025/03/10.-Physics.pdf • https://ncert.nic.in/focus-group.php?ln=en • https://scert.kerala.gov.in/curriculum-2024/</x:v>
      </x:c>
      <x:c r="O55" s="21" t="str">
        <x:v>Normalized gap: confirm exact placement against the adopting board/university's latest detailed syllabus.</x:v>
      </x:c>
    </x:row>
    <x:row r="56">
      <x:c r="A56" s="22" t="n">
        <x:v>132</x:v>
      </x:c>
      <x:c r="B56" s="21" t="str">
        <x:v>Secondary</x:v>
      </x:c>
      <x:c r="C56" s="21" t="str">
        <x:v>Grades 9–10</x:v>
      </x:c>
      <x:c r="D56" s="21" t="str">
        <x:v>CBSE Science; ICSE Physics; State-board science</x:v>
      </x:c>
      <x:c r="E56" s="21" t="str">
        <x:v>Magnetism</x:v>
      </x:c>
      <x:c r="F56" s="21" t="str">
        <x:v>Electromagnetism</x:v>
      </x:c>
      <x:c r="G56" s="21" t="str">
        <x:v>Magnetic Field of Solenoid and Electromagnet Design</x:v>
      </x:c>
      <x:c r="H56" s="21" t="str">
        <x:v>solenoid field; core; turns/current effects</x:v>
      </x:c>
      <x:c r="I56" s="21" t="str">
        <x:v>Optimize an electromagnet</x:v>
      </x:c>
      <x:c r="J56" s="21" t="str">
        <x:v>Partial</x:v>
      </x:c>
      <x:c r="K56" s="21" t="str">
        <x:v>26: Electromagnet</x:v>
      </x:c>
      <x:c r="L56" s="21" t="str">
        <x:v>High</x:v>
      </x:c>
      <x:c r="M56" s="21" t="str">
        <x:v>CBSE Curriculum 2026-27 • CISCE ICSE Physics, Examination Year 2027 • NCERT NCF School Education 2023 • Kerala SCERT Curriculum 2024</x:v>
      </x:c>
      <x:c r="N56" s="21" t="str">
        <x:v>https://cbseacademic.nic.in/curriculum_2027.html • https://cisce.org/wp-content/uploads/2025/03/10.-Physics.pdf • https://ncert.nic.in/focus-group.php?ln=en • https://scert.kerala.gov.in/curriculum-2024/</x:v>
      </x:c>
      <x:c r="O56" s="21" t="str">
        <x:v>Normalized gap: confirm exact placement against the adopting board/university's latest detailed syllabus.</x:v>
      </x:c>
    </x:row>
    <x:row r="57">
      <x:c r="A57" s="22" t="n">
        <x:v>133</x:v>
      </x:c>
      <x:c r="B57" s="21" t="str">
        <x:v>Secondary</x:v>
      </x:c>
      <x:c r="C57" s="21" t="str">
        <x:v>Grades 9–10</x:v>
      </x:c>
      <x:c r="D57" s="21" t="str">
        <x:v>CBSE Science; ICSE Physics; State-board science</x:v>
      </x:c>
      <x:c r="E57" s="21" t="str">
        <x:v>Magnetism</x:v>
      </x:c>
      <x:c r="F57" s="21" t="str">
        <x:v>Electromagnetic devices</x:v>
      </x:c>
      <x:c r="G57" s="21" t="str">
        <x:v>DC Motor Construction and Fleming's Left-Hand Rule</x:v>
      </x:c>
      <x:c r="H57" s="21" t="str">
        <x:v>force direction; commutator; torque</x:v>
      </x:c>
      <x:c r="I57" s="21" t="str">
        <x:v>Interactive motor assembly</x:v>
      </x:c>
      <x:c r="J57" s="21" t="str">
        <x:v>Partial</x:v>
      </x:c>
      <x:c r="K57" s="21" t="str">
        <x:v>27: Lorentz Force on Moving Charge</x:v>
      </x:c>
      <x:c r="L57" s="21" t="str">
        <x:v>High</x:v>
      </x:c>
      <x:c r="M57" s="21" t="str">
        <x:v>CBSE Curriculum 2026-27 • CISCE ICSE Physics, Examination Year 2027 • NCERT NCF School Education 2023 • Kerala SCERT Curriculum 2024</x:v>
      </x:c>
      <x:c r="N57" s="21" t="str">
        <x:v>https://cbseacademic.nic.in/curriculum_2027.html • https://cisce.org/wp-content/uploads/2025/03/10.-Physics.pdf • https://ncert.nic.in/focus-group.php?ln=en • https://scert.kerala.gov.in/curriculum-2024/</x:v>
      </x:c>
      <x:c r="O57" s="21" t="str">
        <x:v>Normalized gap: confirm exact placement against the adopting board/university's latest detailed syllabus.</x:v>
      </x:c>
    </x:row>
    <x:row r="58">
      <x:c r="A58" s="22" t="n">
        <x:v>134</x:v>
      </x:c>
      <x:c r="B58" s="21" t="str">
        <x:v>Secondary</x:v>
      </x:c>
      <x:c r="C58" s="21" t="str">
        <x:v>Grades 9–10</x:v>
      </x:c>
      <x:c r="D58" s="21" t="str">
        <x:v>CBSE Science; ICSE Physics; State-board science</x:v>
      </x:c>
      <x:c r="E58" s="21" t="str">
        <x:v>Electricity</x:v>
      </x:c>
      <x:c r="F58" s="21" t="str">
        <x:v>Electromagnetic devices</x:v>
      </x:c>
      <x:c r="G58" s="21" t="str">
        <x:v>AC Generator and Fleming's Right-Hand Rule</x:v>
      </x:c>
      <x:c r="H58" s="21" t="str">
        <x:v>induced current direction; slip rings; waveform</x:v>
      </x:c>
      <x:c r="I58" s="21" t="str">
        <x:v>Generator polarity and waveform lab</x:v>
      </x:c>
      <x:c r="J58" s="21" t="str">
        <x:v>Partial</x:v>
      </x:c>
      <x:c r="K58" s="21" t="str">
        <x:v>3: AC Generator</x:v>
      </x:c>
      <x:c r="L58" s="21" t="str">
        <x:v>High</x:v>
      </x:c>
      <x:c r="M58" s="21" t="str">
        <x:v>CBSE Curriculum 2026-27 • CISCE ICSE Physics, Examination Year 2027 • NCERT NCF School Education 2023 • Kerala SCERT Curriculum 2024</x:v>
      </x:c>
      <x:c r="N58" s="21" t="str">
        <x:v>https://cbseacademic.nic.in/curriculum_2027.html • https://cisce.org/wp-content/uploads/2025/03/10.-Physics.pdf • https://ncert.nic.in/focus-group.php?ln=en • https://scert.kerala.gov.in/curriculum-2024/</x:v>
      </x:c>
      <x:c r="O58" s="21" t="str">
        <x:v>Normalized gap: confirm exact placement against the adopting board/university's latest detailed syllabus.</x:v>
      </x:c>
    </x:row>
    <x:row r="59">
      <x:c r="A59" s="22" t="n">
        <x:v>135</x:v>
      </x:c>
      <x:c r="B59" s="21" t="str">
        <x:v>Secondary</x:v>
      </x:c>
      <x:c r="C59" s="21" t="str">
        <x:v>Grades 9–10</x:v>
      </x:c>
      <x:c r="D59" s="21" t="str">
        <x:v>CBSE Science; ICSE Physics; State-board science</x:v>
      </x:c>
      <x:c r="E59" s="21" t="str">
        <x:v>Electricity</x:v>
      </x:c>
      <x:c r="F59" s="21" t="str">
        <x:v>Electromagnetic applications</x:v>
      </x:c>
      <x:c r="G59" s="21" t="str">
        <x:v>Electromagnetic Induction in Everyday Devices</x:v>
      </x:c>
      <x:c r="H59" s="21" t="str">
        <x:v>induction cooktop; microphone; pickup; eddy currents</x:v>
      </x:c>
      <x:c r="I59" s="21" t="str">
        <x:v>Eddy-current brake simulator</x:v>
      </x:c>
      <x:c r="J59" s="21" t="str">
        <x:v>Partial</x:v>
      </x:c>
      <x:c r="K59" s="21" t="str">
        <x:v>10: Faraday Induction</x:v>
      </x:c>
      <x:c r="L59" s="21" t="str">
        <x:v>Medium</x:v>
      </x:c>
      <x:c r="M59" s="21" t="str">
        <x:v>CBSE Curriculum 2026-27 • CISCE ICSE Physics, Examination Year 2027 • NCERT NCF School Education 2023 • Kerala SCERT Curriculum 2024</x:v>
      </x:c>
      <x:c r="N59" s="21" t="str">
        <x:v>https://cbseacademic.nic.in/curriculum_2027.html • https://cisce.org/wp-content/uploads/2025/03/10.-Physics.pdf • https://ncert.nic.in/focus-group.php?ln=en • https://scert.kerala.gov.in/curriculum-2024/</x:v>
      </x:c>
      <x:c r="O59" s="21" t="str">
        <x:v>Normalized gap: confirm exact placement against the adopting board/university's latest detailed syllabus.</x:v>
      </x:c>
    </x:row>
    <x:row r="60">
      <x:c r="A60" s="22" t="n">
        <x:v>136</x:v>
      </x:c>
      <x:c r="B60" s="21" t="str">
        <x:v>Secondary</x:v>
      </x:c>
      <x:c r="C60" s="21" t="str">
        <x:v>Grades 9–10</x:v>
      </x:c>
      <x:c r="D60" s="21" t="str">
        <x:v>CBSE Science; ICSE Physics; State-board science</x:v>
      </x:c>
      <x:c r="E60" s="21" t="str">
        <x:v>Optics</x:v>
      </x:c>
      <x:c r="F60" s="21" t="str">
        <x:v>Dispersion</x:v>
      </x:c>
      <x:c r="G60" s="21" t="str">
        <x:v>Prism, Spectrum and Atmospheric Optical Phenomena</x:v>
      </x:c>
      <x:c r="H60" s="21" t="str">
        <x:v>spectrum; scattering; rainbow; sky colour</x:v>
      </x:c>
      <x:c r="I60" s="21" t="str">
        <x:v>Prism spectroscope and scattering tank</x:v>
      </x:c>
      <x:c r="J60" s="21" t="str">
        <x:v>Partial</x:v>
      </x:c>
      <x:c r="K60" s="21" t="str">
        <x:v>60: Prism Dispersion</x:v>
      </x:c>
      <x:c r="L60" s="21" t="str">
        <x:v>High</x:v>
      </x:c>
      <x:c r="M60" s="21" t="str">
        <x:v>CBSE Curriculum 2026-27 • CISCE ICSE Physics, Examination Year 2027 • NCERT NCF School Education 2023 • Kerala SCERT Curriculum 2024</x:v>
      </x:c>
      <x:c r="N60" s="21" t="str">
        <x:v>https://cbseacademic.nic.in/curriculum_2027.html • https://cisce.org/wp-content/uploads/2025/03/10.-Physics.pdf • https://ncert.nic.in/focus-group.php?ln=en • https://scert.kerala.gov.in/curriculum-2024/</x:v>
      </x:c>
      <x:c r="O60" s="21" t="str">
        <x:v>Normalized gap: confirm exact placement against the adopting board/university's latest detailed syllabus.</x:v>
      </x:c>
    </x:row>
    <x:row r="61">
      <x:c r="A61" s="22" t="n">
        <x:v>137</x:v>
      </x:c>
      <x:c r="B61" s="21" t="str">
        <x:v>Secondary</x:v>
      </x:c>
      <x:c r="C61" s="21" t="str">
        <x:v>Grades 9–10</x:v>
      </x:c>
      <x:c r="D61" s="21" t="str">
        <x:v>CBSE Science; ICSE Physics; State-board science</x:v>
      </x:c>
      <x:c r="E61" s="21" t="str">
        <x:v>Energy</x:v>
      </x:c>
      <x:c r="F61" s="21" t="str">
        <x:v>Energy systems</x:v>
      </x:c>
      <x:c r="G61" s="21" t="str">
        <x:v>Energy Resource Calculations and Environmental Trade-offs</x:v>
      </x:c>
      <x:c r="H61" s="21" t="str">
        <x:v>capacity; efficiency; intermittency; emissions</x:v>
      </x:c>
      <x:c r="I61" s="21" t="str">
        <x:v>Microgrid resource comparison lab</x:v>
      </x:c>
      <x:c r="J61" s="21" t="str">
        <x:v>Partial</x:v>
      </x:c>
      <x:c r="K61" s="21" t="str">
        <x:v>20: Sources of Energy Comparator</x:v>
      </x:c>
      <x:c r="L61" s="21" t="str">
        <x:v>High</x:v>
      </x:c>
      <x:c r="M61" s="21" t="str">
        <x:v>CBSE Curriculum 2026-27 • CISCE ICSE Physics, Examination Year 2027 • NCERT NCF School Education 2023 • Kerala SCERT Curriculum 2024</x:v>
      </x:c>
      <x:c r="N61" s="21" t="str">
        <x:v>https://cbseacademic.nic.in/curriculum_2027.html • https://cisce.org/wp-content/uploads/2025/03/10.-Physics.pdf • https://ncert.nic.in/focus-group.php?ln=en • https://scert.kerala.gov.in/curriculum-2024/</x:v>
      </x:c>
      <x:c r="O61" s="21" t="str">
        <x:v>Normalized gap: confirm exact placement against the adopting board/university's latest detailed syllabus.</x:v>
      </x:c>
    </x:row>
    <x:row r="62">
      <x:c r="A62" s="22" t="n">
        <x:v>138</x:v>
      </x:c>
      <x:c r="B62" s="21" t="str">
        <x:v>Senior Secondary</x:v>
      </x:c>
      <x:c r="C62" s="21" t="str">
        <x:v>Grades 11–12</x:v>
      </x:c>
      <x:c r="D62" s="21" t="str">
        <x:v>CBSE Physics; ISC Physics; State-board Physics</x:v>
      </x:c>
      <x:c r="E62" s="21" t="str">
        <x:v>Measurement</x:v>
      </x:c>
      <x:c r="F62" s="21" t="str">
        <x:v>Physical world and measurement</x:v>
      </x:c>
      <x:c r="G62" s="21" t="str">
        <x:v>Dimensional Analysis and Error Propagation</x:v>
      </x:c>
      <x:c r="H62" s="21" t="str">
        <x:v>dimensions; homogeneity; uncertainty propagation</x:v>
      </x:c>
      <x:c r="I62" s="21" t="str">
        <x:v>Dimensional-consistency and uncertainty calculator</x:v>
      </x:c>
      <x:c r="J62" s="21" t="str">
        <x:v>Partial</x:v>
      </x:c>
      <x:c r="K62" s="21" t="str">
        <x:v>30: Measurement, Error, and Significant Figures</x:v>
      </x:c>
      <x:c r="L62" s="21" t="str">
        <x:v>Critical</x:v>
      </x:c>
      <x:c r="M62" s="21" t="str">
        <x:v>CBSE Physics 042, Classes XI-XII, 2026-27 • CISCE ISC Physics, Examination Year 2027 • Maharashtra SCERT Std. XII Physics Question Bank</x:v>
      </x:c>
      <x:c r="N62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62" s="21" t="str">
        <x:v>Normalized gap: confirm exact placement against the adopting board/university's latest detailed syllabus.</x:v>
      </x:c>
    </x:row>
    <x:row r="63">
      <x:c r="A63" s="22" t="n">
        <x:v>139</x:v>
      </x:c>
      <x:c r="B63" s="21" t="str">
        <x:v>Senior Secondary</x:v>
      </x:c>
      <x:c r="C63" s="21" t="str">
        <x:v>Grades 11–12</x:v>
      </x:c>
      <x:c r="D63" s="21" t="str">
        <x:v>CBSE Physics; ISC Physics; State-board Physics</x:v>
      </x:c>
      <x:c r="E63" s="21" t="str">
        <x:v>Mechanics</x:v>
      </x:c>
      <x:c r="F63" s="21" t="str">
        <x:v>Kinematics</x:v>
      </x:c>
      <x:c r="G63" s="21" t="str">
        <x:v>Relative Motion in One and Two Dimensions</x:v>
      </x:c>
      <x:c r="H63" s="21" t="str">
        <x:v>reference frames; relative velocity; rain-boat problems</x:v>
      </x:c>
      <x:c r="I63" s="21" t="str">
        <x:v>Moving-frame vector simulator</x:v>
      </x:c>
      <x:c r="J63" s="21" t="str">
        <x:v>Partial</x:v>
      </x:c>
      <x:c r="K63" s="21" t="str">
        <x:v>46: Vector Resolution</x:v>
      </x:c>
      <x:c r="L63" s="21" t="str">
        <x:v>High</x:v>
      </x:c>
      <x:c r="M63" s="21" t="str">
        <x:v>CBSE Physics 042, Classes XI-XII, 2026-27 • CISCE ISC Physics, Examination Year 2027 • Maharashtra SCERT Std. XII Physics Question Bank</x:v>
      </x:c>
      <x:c r="N63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63" s="21" t="str">
        <x:v>Normalized gap: confirm exact placement against the adopting board/university's latest detailed syllabus.</x:v>
      </x:c>
    </x:row>
    <x:row r="64">
      <x:c r="A64" s="22" t="n">
        <x:v>140</x:v>
      </x:c>
      <x:c r="B64" s="21" t="str">
        <x:v>Senior Secondary</x:v>
      </x:c>
      <x:c r="C64" s="21" t="str">
        <x:v>Grades 11–12</x:v>
      </x:c>
      <x:c r="D64" s="21" t="str">
        <x:v>CBSE Physics; ISC Physics; State-board Physics</x:v>
      </x:c>
      <x:c r="E64" s="21" t="str">
        <x:v>Mechanics</x:v>
      </x:c>
      <x:c r="F64" s="21" t="str">
        <x:v>System of particles</x:v>
      </x:c>
      <x:c r="G64" s="21" t="str">
        <x:v>Centre of Mass and Motion of a System</x:v>
      </x:c>
      <x:c r="H64" s="21" t="str">
        <x:v>centre of mass; momentum; two-body motion</x:v>
      </x:c>
      <x:c r="I64" s="21" t="str">
        <x:v>Adjustable-mass centre-of-mass track</x:v>
      </x:c>
      <x:c r="J64" s="21" t="str">
        <x:v>Partial</x:v>
      </x:c>
      <x:c r="K64" s="21" t="str">
        <x:v>43: Rotational Dynamics</x:v>
      </x:c>
      <x:c r="L64" s="21" t="str">
        <x:v>Critical</x:v>
      </x:c>
      <x:c r="M64" s="21" t="str">
        <x:v>CBSE Physics 042, Classes XI-XII, 2026-27 • CISCE ISC Physics, Examination Year 2027 • Maharashtra SCERT Std. XII Physics Question Bank</x:v>
      </x:c>
      <x:c r="N64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64" s="21" t="str">
        <x:v>Normalized gap: confirm exact placement against the adopting board/university's latest detailed syllabus.</x:v>
      </x:c>
    </x:row>
    <x:row r="65">
      <x:c r="A65" s="22" t="n">
        <x:v>141</x:v>
      </x:c>
      <x:c r="B65" s="21" t="str">
        <x:v>Senior Secondary</x:v>
      </x:c>
      <x:c r="C65" s="21" t="str">
        <x:v>Grades 11–12</x:v>
      </x:c>
      <x:c r="D65" s="21" t="str">
        <x:v>CBSE Physics; ISC Physics; State-board Physics</x:v>
      </x:c>
      <x:c r="E65" s="21" t="str">
        <x:v>Mechanics</x:v>
      </x:c>
      <x:c r="F65" s="21" t="str">
        <x:v>Rotational mechanics</x:v>
      </x:c>
      <x:c r="G65" s="21" t="str">
        <x:v>Torque, Angular Momentum and Rolling Motion</x:v>
      </x:c>
      <x:c r="H65" s="21" t="str">
        <x:v>torque; angular momentum; rolling constraint</x:v>
      </x:c>
      <x:c r="I65" s="21" t="str">
        <x:v>Rolling objects and rotating-platform lab</x:v>
      </x:c>
      <x:c r="J65" s="21" t="str">
        <x:v>Partial</x:v>
      </x:c>
      <x:c r="K65" s="21" t="str">
        <x:v>43: Rotational Dynamics</x:v>
      </x:c>
      <x:c r="L65" s="21" t="str">
        <x:v>High</x:v>
      </x:c>
      <x:c r="M65" s="21" t="str">
        <x:v>CBSE Physics 042, Classes XI-XII, 2026-27 • CISCE ISC Physics, Examination Year 2027 • Maharashtra SCERT Std. XII Physics Question Bank</x:v>
      </x:c>
      <x:c r="N65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65" s="21" t="str">
        <x:v>Normalized gap: confirm exact placement against the adopting board/university's latest detailed syllabus.</x:v>
      </x:c>
    </x:row>
    <x:row r="66">
      <x:c r="A66" s="22" t="n">
        <x:v>142</x:v>
      </x:c>
      <x:c r="B66" s="21" t="str">
        <x:v>Senior Secondary</x:v>
      </x:c>
      <x:c r="C66" s="21" t="str">
        <x:v>Grades 11–12</x:v>
      </x:c>
      <x:c r="D66" s="21" t="str">
        <x:v>CBSE Physics; ISC Physics; State-board Physics</x:v>
      </x:c>
      <x:c r="E66" s="21" t="str">
        <x:v>Mechanics</x:v>
      </x:c>
      <x:c r="F66" s="21" t="str">
        <x:v>Mechanical properties of solids</x:v>
      </x:c>
      <x:c r="G66" s="21" t="str">
        <x:v>Elasticity: Stress, Strain and Elastic Moduli</x:v>
      </x:c>
      <x:c r="H66" s="21" t="str">
        <x:v>stress-strain curve; Young/bulk/shear modulus</x:v>
      </x:c>
      <x:c r="I66" s="21" t="str">
        <x:v>Wire-extension stress-strain lab</x:v>
      </x:c>
      <x:c r="J66" s="21" t="str">
        <x:v>Partial</x:v>
      </x:c>
      <x:c r="K66" s="21" t="str">
        <x:v>38: Hooke's Law</x:v>
      </x:c>
      <x:c r="L66" s="21" t="str">
        <x:v>Critical</x:v>
      </x:c>
      <x:c r="M66" s="21" t="str">
        <x:v>CBSE Physics 042, Classes XI-XII, 2026-27 • CISCE ISC Physics, Examination Year 2027 • Maharashtra SCERT Std. XII Physics Question Bank</x:v>
      </x:c>
      <x:c r="N66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66" s="21" t="str">
        <x:v>Normalized gap: confirm exact placement against the adopting board/university's latest detailed syllabus.</x:v>
      </x:c>
    </x:row>
    <x:row r="67">
      <x:c r="A67" s="22" t="n">
        <x:v>143</x:v>
      </x:c>
      <x:c r="B67" s="21" t="str">
        <x:v>Senior Secondary</x:v>
      </x:c>
      <x:c r="C67" s="21" t="str">
        <x:v>Grades 11–12</x:v>
      </x:c>
      <x:c r="D67" s="21" t="str">
        <x:v>CBSE Physics; ISC Physics; State-board Physics</x:v>
      </x:c>
      <x:c r="E67" s="21" t="str">
        <x:v>Fluid Mechanics</x:v>
      </x:c>
      <x:c r="F67" s="21" t="str">
        <x:v>Mechanical properties of fluids</x:v>
      </x:c>
      <x:c r="G67" s="21" t="str">
        <x:v>Viscosity, Stokes' Law and Terminal Velocity</x:v>
      </x:c>
      <x:c r="H67" s="21" t="str">
        <x:v>viscosity; drag; terminal speed; Reynolds number</x:v>
      </x:c>
      <x:c r="I67" s="21" t="str">
        <x:v>Falling-sphere viscometer</x:v>
      </x:c>
      <x:c r="J67" s="21" t="str">
        <x:v>Partial</x:v>
      </x:c>
      <x:c r="K67" s="21" t="str">
        <x:v>21: Bernoulli Fluid Flow</x:v>
      </x:c>
      <x:c r="L67" s="21" t="str">
        <x:v>Critical</x:v>
      </x:c>
      <x:c r="M67" s="21" t="str">
        <x:v>CBSE Physics 042, Classes XI-XII, 2026-27 • CISCE ISC Physics, Examination Year 2027 • Maharashtra SCERT Std. XII Physics Question Bank</x:v>
      </x:c>
      <x:c r="N67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67" s="21" t="str">
        <x:v>Normalized gap: confirm exact placement against the adopting board/university's latest detailed syllabus.</x:v>
      </x:c>
    </x:row>
    <x:row r="68">
      <x:c r="A68" s="22" t="n">
        <x:v>144</x:v>
      </x:c>
      <x:c r="B68" s="21" t="str">
        <x:v>Senior Secondary</x:v>
      </x:c>
      <x:c r="C68" s="21" t="str">
        <x:v>Grades 11–12</x:v>
      </x:c>
      <x:c r="D68" s="21" t="str">
        <x:v>CBSE Physics; ISC Physics; State-board Physics</x:v>
      </x:c>
      <x:c r="E68" s="21" t="str">
        <x:v>Fluid Mechanics</x:v>
      </x:c>
      <x:c r="F68" s="21" t="str">
        <x:v>Mechanical properties of fluids</x:v>
      </x:c>
      <x:c r="G68" s="21" t="str">
        <x:v>Surface Tension and Capillarity</x:v>
      </x:c>
      <x:c r="H68" s="21" t="str">
        <x:v>surface energy; excess pressure; capillary rise</x:v>
      </x:c>
      <x:c r="I68" s="21" t="str">
        <x:v>Capillary-tube and soap-film lab</x:v>
      </x:c>
      <x:c r="J68" s="21" t="str">
        <x:v>Partial</x:v>
      </x:c>
      <x:c r="K68" s="21" t="str">
        <x:v>24: Fluid Pressure with Depth</x:v>
      </x:c>
      <x:c r="L68" s="21" t="str">
        <x:v>Critical</x:v>
      </x:c>
      <x:c r="M68" s="21" t="str">
        <x:v>CBSE Physics 042, Classes XI-XII, 2026-27 • CISCE ISC Physics, Examination Year 2027 • Maharashtra SCERT Std. XII Physics Question Bank</x:v>
      </x:c>
      <x:c r="N68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68" s="21" t="str">
        <x:v>Normalized gap: confirm exact placement against the adopting board/university's latest detailed syllabus.</x:v>
      </x:c>
    </x:row>
    <x:row r="69">
      <x:c r="A69" s="22" t="n">
        <x:v>145</x:v>
      </x:c>
      <x:c r="B69" s="21" t="str">
        <x:v>Senior Secondary</x:v>
      </x:c>
      <x:c r="C69" s="21" t="str">
        <x:v>Grades 11–12</x:v>
      </x:c>
      <x:c r="D69" s="21" t="str">
        <x:v>CBSE Physics; ISC Physics; State-board Physics</x:v>
      </x:c>
      <x:c r="E69" s="21" t="str">
        <x:v>Thermodynamics</x:v>
      </x:c>
      <x:c r="F69" s="21" t="str">
        <x:v>Thermal properties of matter</x:v>
      </x:c>
      <x:c r="G69" s="21" t="str">
        <x:v>Thermal Expansion of Solids, Liquids and Gases</x:v>
      </x:c>
      <x:c r="H69" s="21" t="str">
        <x:v>linear/area/volume expansion; anomalous water expansion</x:v>
      </x:c>
      <x:c r="I69" s="21" t="str">
        <x:v>Expansion bridge and liquid-column lab</x:v>
      </x:c>
      <x:c r="J69" s="21" t="str">
        <x:v>Partial</x:v>
      </x:c>
      <x:c r="K69" s="21" t="str">
        <x:v>67: Heat and Temperature</x:v>
      </x:c>
      <x:c r="L69" s="21" t="str">
        <x:v>High</x:v>
      </x:c>
      <x:c r="M69" s="21" t="str">
        <x:v>CBSE Physics 042, Classes XI-XII, 2026-27 • CISCE ISC Physics, Examination Year 2027 • Maharashtra SCERT Std. XII Physics Question Bank</x:v>
      </x:c>
      <x:c r="N69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69" s="21" t="str">
        <x:v>Normalized gap: confirm exact placement against the adopting board/university's latest detailed syllabus.</x:v>
      </x:c>
    </x:row>
    <x:row r="70">
      <x:c r="A70" s="22" t="n">
        <x:v>146</x:v>
      </x:c>
      <x:c r="B70" s="21" t="str">
        <x:v>Senior Secondary</x:v>
      </x:c>
      <x:c r="C70" s="21" t="str">
        <x:v>Grades 11–12</x:v>
      </x:c>
      <x:c r="D70" s="21" t="str">
        <x:v>CBSE Physics; ISC Physics; State-board Physics</x:v>
      </x:c>
      <x:c r="E70" s="21" t="str">
        <x:v>Thermodynamics</x:v>
      </x:c>
      <x:c r="F70" s="21" t="str">
        <x:v>Thermodynamics</x:v>
      </x:c>
      <x:c r="G70" s="21" t="str">
        <x:v>Second Law, Entropy and Carnot Engine</x:v>
      </x:c>
      <x:c r="H70" s="21" t="str">
        <x:v>irreversibility; entropy; Carnot cycle; efficiency</x:v>
      </x:c>
      <x:c r="I70" s="21" t="str">
        <x:v>PV/TS Carnot-cycle simulator</x:v>
      </x:c>
      <x:c r="J70" s="21" t="str">
        <x:v>Partial</x:v>
      </x:c>
      <x:c r="K70" s="21" t="str">
        <x:v>70: Thermodynamic Processes</x:v>
      </x:c>
      <x:c r="L70" s="21" t="str">
        <x:v>Critical</x:v>
      </x:c>
      <x:c r="M70" s="21" t="str">
        <x:v>CBSE Physics 042, Classes XI-XII, 2026-27 • CISCE ISC Physics, Examination Year 2027 • Maharashtra SCERT Std. XII Physics Question Bank</x:v>
      </x:c>
      <x:c r="N70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70" s="21" t="str">
        <x:v>Normalized gap: confirm exact placement against the adopting board/university's latest detailed syllabus.</x:v>
      </x:c>
    </x:row>
    <x:row r="71">
      <x:c r="A71" s="22" t="n">
        <x:v>147</x:v>
      </x:c>
      <x:c r="B71" s="21" t="str">
        <x:v>Senior Secondary</x:v>
      </x:c>
      <x:c r="C71" s="21" t="str">
        <x:v>Grades 11–12</x:v>
      </x:c>
      <x:c r="D71" s="21" t="str">
        <x:v>CBSE Physics; ISC Physics; State-board Physics</x:v>
      </x:c>
      <x:c r="E71" s="21" t="str">
        <x:v>Waves</x:v>
      </x:c>
      <x:c r="F71" s="21" t="str">
        <x:v>Waves</x:v>
      </x:c>
      <x:c r="G71" s="21" t="str">
        <x:v>Standing Waves in Strings and Organ Pipes</x:v>
      </x:c>
      <x:c r="H71" s="21" t="str">
        <x:v>nodes; antinodes; harmonics; open/closed pipes</x:v>
      </x:c>
      <x:c r="I71" s="21" t="str">
        <x:v>Sonometer and resonance-tube lab</x:v>
      </x:c>
      <x:c r="J71" s="21" t="str">
        <x:v>Partial</x:v>
      </x:c>
      <x:c r="K71" s="21" t="str">
        <x:v>71: Chladni Plate</x:v>
      </x:c>
      <x:c r="L71" s="21" t="str">
        <x:v>Critical</x:v>
      </x:c>
      <x:c r="M71" s="21" t="str">
        <x:v>CBSE Physics 042, Classes XI-XII, 2026-27 • CISCE ISC Physics, Examination Year 2027 • Maharashtra SCERT Std. XII Physics Question Bank</x:v>
      </x:c>
      <x:c r="N71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71" s="21" t="str">
        <x:v>Normalized gap: confirm exact placement against the adopting board/university's latest detailed syllabus.</x:v>
      </x:c>
    </x:row>
    <x:row r="72">
      <x:c r="A72" s="22" t="n">
        <x:v>148</x:v>
      </x:c>
      <x:c r="B72" s="21" t="str">
        <x:v>Senior Secondary</x:v>
      </x:c>
      <x:c r="C72" s="21" t="str">
        <x:v>Grades 11–12</x:v>
      </x:c>
      <x:c r="D72" s="21" t="str">
        <x:v>CBSE Physics; ISC Physics; State-board Physics</x:v>
      </x:c>
      <x:c r="E72" s="21" t="str">
        <x:v>Waves</x:v>
      </x:c>
      <x:c r="F72" s="21" t="str">
        <x:v>Waves</x:v>
      </x:c>
      <x:c r="G72" s="21" t="str">
        <x:v>Doppler Effect</x:v>
      </x:c>
      <x:c r="H72" s="21" t="str">
        <x:v>source/observer motion; frequency shift; applications</x:v>
      </x:c>
      <x:c r="I72" s="21" t="str">
        <x:v>Moving-source Doppler simulator</x:v>
      </x:c>
      <x:c r="J72" s="21" t="str">
        <x:v>Partial</x:v>
      </x:c>
      <x:c r="K72" s="21" t="str">
        <x:v>79: Wave Lab</x:v>
      </x:c>
      <x:c r="L72" s="21" t="str">
        <x:v>High</x:v>
      </x:c>
      <x:c r="M72" s="21" t="str">
        <x:v>CBSE Physics 042, Classes XI-XII, 2026-27 • CISCE ISC Physics, Examination Year 2027 • Maharashtra SCERT Std. XII Physics Question Bank</x:v>
      </x:c>
      <x:c r="N72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72" s="21" t="str">
        <x:v>Normalized gap: confirm exact placement against the adopting board/university's latest detailed syllabus.</x:v>
      </x:c>
    </x:row>
    <x:row r="73">
      <x:c r="A73" s="22" t="n">
        <x:v>149</x:v>
      </x:c>
      <x:c r="B73" s="21" t="str">
        <x:v>Senior Secondary</x:v>
      </x:c>
      <x:c r="C73" s="21" t="str">
        <x:v>Grades 11–12</x:v>
      </x:c>
      <x:c r="D73" s="21" t="str">
        <x:v>CBSE Physics; ISC Physics; State-board Physics</x:v>
      </x:c>
      <x:c r="E73" s="21" t="str">
        <x:v>Electricity</x:v>
      </x:c>
      <x:c r="F73" s="21" t="str">
        <x:v>Electrostatics</x:v>
      </x:c>
      <x:c r="G73" s="21" t="str">
        <x:v>Gauss's Law and Symmetric Charge Distributions</x:v>
      </x:c>
      <x:c r="H73" s="21" t="str">
        <x:v>electric flux; Gaussian surfaces; field derivations</x:v>
      </x:c>
      <x:c r="I73" s="21" t="str">
        <x:v>Flux-through-surface field visualizer</x:v>
      </x:c>
      <x:c r="J73" s="21" t="str">
        <x:v>Partial</x:v>
      </x:c>
      <x:c r="K73" s="21" t="str">
        <x:v>9: Electrostatic Field and Potential</x:v>
      </x:c>
      <x:c r="L73" s="21" t="str">
        <x:v>Critical</x:v>
      </x:c>
      <x:c r="M73" s="21" t="str">
        <x:v>CBSE Physics 042, Classes XI-XII, 2026-27 • CISCE ISC Physics, Examination Year 2027 • Maharashtra SCERT Std. XII Physics Question Bank</x:v>
      </x:c>
      <x:c r="N73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73" s="21" t="str">
        <x:v>Normalized gap: confirm exact placement against the adopting board/university's latest detailed syllabus.</x:v>
      </x:c>
    </x:row>
    <x:row r="74">
      <x:c r="A74" s="22" t="n">
        <x:v>150</x:v>
      </x:c>
      <x:c r="B74" s="21" t="str">
        <x:v>Senior Secondary</x:v>
      </x:c>
      <x:c r="C74" s="21" t="str">
        <x:v>Grades 11–12</x:v>
      </x:c>
      <x:c r="D74" s="21" t="str">
        <x:v>CBSE Physics; ISC Physics; State-board Physics</x:v>
      </x:c>
      <x:c r="E74" s="21" t="str">
        <x:v>Electricity</x:v>
      </x:c>
      <x:c r="F74" s="21" t="str">
        <x:v>Electrostatics</x:v>
      </x:c>
      <x:c r="G74" s="21" t="str">
        <x:v>Electric Dipole: Field, Potential and Torque</x:v>
      </x:c>
      <x:c r="H74" s="21" t="str">
        <x:v>dipole field; potential; torque; potential energy</x:v>
      </x:c>
      <x:c r="I74" s="21" t="str">
        <x:v>Dipole field-line and torque lab</x:v>
      </x:c>
      <x:c r="J74" s="21" t="str">
        <x:v>Partial</x:v>
      </x:c>
      <x:c r="K74" s="21" t="str">
        <x:v>9: Electrostatic Field and Potential</x:v>
      </x:c>
      <x:c r="L74" s="21" t="str">
        <x:v>High</x:v>
      </x:c>
      <x:c r="M74" s="21" t="str">
        <x:v>CBSE Physics 042, Classes XI-XII, 2026-27 • CISCE ISC Physics, Examination Year 2027 • Maharashtra SCERT Std. XII Physics Question Bank</x:v>
      </x:c>
      <x:c r="N74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74" s="21" t="str">
        <x:v>Normalized gap: confirm exact placement against the adopting board/university's latest detailed syllabus.</x:v>
      </x:c>
    </x:row>
    <x:row r="75">
      <x:c r="A75" s="22" t="n">
        <x:v>151</x:v>
      </x:c>
      <x:c r="B75" s="21" t="str">
        <x:v>Senior Secondary</x:v>
      </x:c>
      <x:c r="C75" s="21" t="str">
        <x:v>Grades 11–12</x:v>
      </x:c>
      <x:c r="D75" s="21" t="str">
        <x:v>CBSE Physics; ISC Physics; State-board Physics</x:v>
      </x:c>
      <x:c r="E75" s="21" t="str">
        <x:v>Electricity</x:v>
      </x:c>
      <x:c r="F75" s="21" t="str">
        <x:v>Current electricity practicals</x:v>
      </x:c>
      <x:c r="G75" s="21" t="str">
        <x:v>Potentiometer: EMF and Internal Resistance</x:v>
      </x:c>
      <x:c r="H75" s="21" t="str">
        <x:v>null method; EMF comparison; internal resistance</x:v>
      </x:c>
      <x:c r="I75" s="21" t="str">
        <x:v>Virtual potentiometer</x:v>
      </x:c>
      <x:c r="J75" s="21" t="str">
        <x:v>Partial</x:v>
      </x:c>
      <x:c r="K75" s="21" t="str">
        <x:v>6: Cell Internal Resistance</x:v>
      </x:c>
      <x:c r="L75" s="21" t="str">
        <x:v>Critical</x:v>
      </x:c>
      <x:c r="M75" s="21" t="str">
        <x:v>CBSE Physics 042, Classes XI-XII, 2026-27 • CISCE ISC Physics, Examination Year 2027 • Maharashtra SCERT Std. XII Physics Question Bank</x:v>
      </x:c>
      <x:c r="N75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75" s="21" t="str">
        <x:v>Normalized gap: confirm exact placement against the adopting board/university's latest detailed syllabus.</x:v>
      </x:c>
    </x:row>
    <x:row r="76">
      <x:c r="A76" s="22" t="n">
        <x:v>152</x:v>
      </x:c>
      <x:c r="B76" s="21" t="str">
        <x:v>Senior Secondary</x:v>
      </x:c>
      <x:c r="C76" s="21" t="str">
        <x:v>Grades 11–12</x:v>
      </x:c>
      <x:c r="D76" s="21" t="str">
        <x:v>CBSE Physics; ISC Physics; State-board Physics</x:v>
      </x:c>
      <x:c r="E76" s="21" t="str">
        <x:v>Magnetism</x:v>
      </x:c>
      <x:c r="F76" s="21" t="str">
        <x:v>Magnetic effects</x:v>
      </x:c>
      <x:c r="G76" s="21" t="str">
        <x:v>Moving-Coil Galvanometer and Conversion</x:v>
      </x:c>
      <x:c r="H76" s="21" t="str">
        <x:v>torque on coil; sensitivity; ammeter/voltmeter conversion</x:v>
      </x:c>
      <x:c r="I76" s="21" t="str">
        <x:v>Galvanometer conversion simulator</x:v>
      </x:c>
      <x:c r="J76" s="21" t="str">
        <x:v>Partial</x:v>
      </x:c>
      <x:c r="K76" s="21" t="str">
        <x:v>28: Magnetic Field Around Current</x:v>
      </x:c>
      <x:c r="L76" s="21" t="str">
        <x:v>Critical</x:v>
      </x:c>
      <x:c r="M76" s="21" t="str">
        <x:v>CBSE Physics 042, Classes XI-XII, 2026-27 • CISCE ISC Physics, Examination Year 2027 • Maharashtra SCERT Std. XII Physics Question Bank</x:v>
      </x:c>
      <x:c r="N76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76" s="21" t="str">
        <x:v>Normalized gap: confirm exact placement against the adopting board/university's latest detailed syllabus.</x:v>
      </x:c>
    </x:row>
    <x:row r="77">
      <x:c r="A77" s="22" t="n">
        <x:v>153</x:v>
      </x:c>
      <x:c r="B77" s="21" t="str">
        <x:v>Senior Secondary</x:v>
      </x:c>
      <x:c r="C77" s="21" t="str">
        <x:v>Grades 11–12</x:v>
      </x:c>
      <x:c r="D77" s="21" t="str">
        <x:v>CBSE Physics; ISC Physics; State-board Physics</x:v>
      </x:c>
      <x:c r="E77" s="21" t="str">
        <x:v>Magnetism</x:v>
      </x:c>
      <x:c r="F77" s="21" t="str">
        <x:v>Moving charges</x:v>
      </x:c>
      <x:c r="G77" s="21" t="str">
        <x:v>Motion of Charged Particles and Cyclotron</x:v>
      </x:c>
      <x:c r="H77" s="21" t="str">
        <x:v>helical motion; velocity selector; cyclotron</x:v>
      </x:c>
      <x:c r="I77" s="21" t="str">
        <x:v>Charged-particle trajectory lab</x:v>
      </x:c>
      <x:c r="J77" s="21" t="str">
        <x:v>Partial</x:v>
      </x:c>
      <x:c r="K77" s="21" t="str">
        <x:v>27: Lorentz Force on Moving Charge</x:v>
      </x:c>
      <x:c r="L77" s="21" t="str">
        <x:v>High</x:v>
      </x:c>
      <x:c r="M77" s="21" t="str">
        <x:v>CBSE Physics 042, Classes XI-XII, 2026-27 • CISCE ISC Physics, Examination Year 2027 • Maharashtra SCERT Std. XII Physics Question Bank</x:v>
      </x:c>
      <x:c r="N77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77" s="21" t="str">
        <x:v>Normalized gap: confirm exact placement against the adopting board/university's latest detailed syllabus.</x:v>
      </x:c>
    </x:row>
    <x:row r="78">
      <x:c r="A78" s="22" t="n">
        <x:v>154</x:v>
      </x:c>
      <x:c r="B78" s="21" t="str">
        <x:v>Senior Secondary</x:v>
      </x:c>
      <x:c r="C78" s="21" t="str">
        <x:v>Grades 11–12</x:v>
      </x:c>
      <x:c r="D78" s="21" t="str">
        <x:v>CBSE Physics; ISC Physics; State-board Physics</x:v>
      </x:c>
      <x:c r="E78" s="21" t="str">
        <x:v>Magnetism</x:v>
      </x:c>
      <x:c r="F78" s="21" t="str">
        <x:v>Magnetism and matter</x:v>
      </x:c>
      <x:c r="G78" s="21" t="str">
        <x:v>Magnetism in Matter and Hysteresis</x:v>
      </x:c>
      <x:c r="H78" s="21" t="str">
        <x:v>dia/para/ferromagnetism; B-H curve; domains</x:v>
      </x:c>
      <x:c r="I78" s="21" t="str">
        <x:v>Hysteresis-loop material comparator</x:v>
      </x:c>
      <x:c r="J78" s="21" t="str">
        <x:v>Partial</x:v>
      </x:c>
      <x:c r="K78" s="21" t="str">
        <x:v>26: Electromagnet</x:v>
      </x:c>
      <x:c r="L78" s="21" t="str">
        <x:v>Critical</x:v>
      </x:c>
      <x:c r="M78" s="21" t="str">
        <x:v>CBSE Physics 042, Classes XI-XII, 2026-27 • CISCE ISC Physics, Examination Year 2027 • Maharashtra SCERT Std. XII Physics Question Bank</x:v>
      </x:c>
      <x:c r="N78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78" s="21" t="str">
        <x:v>Normalized gap: confirm exact placement against the adopting board/university's latest detailed syllabus.</x:v>
      </x:c>
    </x:row>
    <x:row r="79">
      <x:c r="A79" s="22" t="n">
        <x:v>155</x:v>
      </x:c>
      <x:c r="B79" s="21" t="str">
        <x:v>Senior Secondary</x:v>
      </x:c>
      <x:c r="C79" s="21" t="str">
        <x:v>Grades 11–12</x:v>
      </x:c>
      <x:c r="D79" s="21" t="str">
        <x:v>CBSE Physics; ISC Physics; State-board Physics</x:v>
      </x:c>
      <x:c r="E79" s="21" t="str">
        <x:v>Electricity</x:v>
      </x:c>
      <x:c r="F79" s="21" t="str">
        <x:v>Alternating current</x:v>
      </x:c>
      <x:c r="G79" s="21" t="str">
        <x:v>Alternating Current Phasors and Power</x:v>
      </x:c>
      <x:c r="H79" s="21" t="str">
        <x:v>RLC phasors; impedance; power factor; resonance</x:v>
      </x:c>
      <x:c r="I79" s="21" t="str">
        <x:v>AC phasor and power-factor lab</x:v>
      </x:c>
      <x:c r="J79" s="21" t="str">
        <x:v>Partial</x:v>
      </x:c>
      <x:c r="K79" s="21" t="str">
        <x:v>4: AC LCR Resonance</x:v>
      </x:c>
      <x:c r="L79" s="21" t="str">
        <x:v>High</x:v>
      </x:c>
      <x:c r="M79" s="21" t="str">
        <x:v>CBSE Physics 042, Classes XI-XII, 2026-27 • CISCE ISC Physics, Examination Year 2027 • Maharashtra SCERT Std. XII Physics Question Bank</x:v>
      </x:c>
      <x:c r="N79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79" s="21" t="str">
        <x:v>Normalized gap: confirm exact placement against the adopting board/university's latest detailed syllabus.</x:v>
      </x:c>
    </x:row>
    <x:row r="80">
      <x:c r="A80" s="22" t="n">
        <x:v>156</x:v>
      </x:c>
      <x:c r="B80" s="21" t="str">
        <x:v>Senior Secondary</x:v>
      </x:c>
      <x:c r="C80" s="21" t="str">
        <x:v>Grades 11–12</x:v>
      </x:c>
      <x:c r="D80" s="21" t="str">
        <x:v>CBSE Physics; ISC Physics; State-board Physics</x:v>
      </x:c>
      <x:c r="E80" s="21" t="str">
        <x:v>Optics</x:v>
      </x:c>
      <x:c r="F80" s="21" t="str">
        <x:v>Wave optics</x:v>
      </x:c>
      <x:c r="G80" s="21" t="str">
        <x:v>Wavefronts and Huygens Principle</x:v>
      </x:c>
      <x:c r="H80" s="21" t="str">
        <x:v>wavefront; reflection/refraction by Huygens principle</x:v>
      </x:c>
      <x:c r="I80" s="21" t="str">
        <x:v>Wavefront construction simulator</x:v>
      </x:c>
      <x:c r="J80" s="21" t="str">
        <x:v>Partial</x:v>
      </x:c>
      <x:c r="K80" s="21" t="str">
        <x:v>80: Young's Double Slit</x:v>
      </x:c>
      <x:c r="L80" s="21" t="str">
        <x:v>High</x:v>
      </x:c>
      <x:c r="M80" s="21" t="str">
        <x:v>CBSE Physics 042, Classes XI-XII, 2026-27 • CISCE ISC Physics, Examination Year 2027 • Maharashtra SCERT Std. XII Physics Question Bank</x:v>
      </x:c>
      <x:c r="N80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80" s="21" t="str">
        <x:v>Normalized gap: confirm exact placement against the adopting board/university's latest detailed syllabus.</x:v>
      </x:c>
    </x:row>
    <x:row r="81">
      <x:c r="A81" s="22" t="n">
        <x:v>157</x:v>
      </x:c>
      <x:c r="B81" s="21" t="str">
        <x:v>Senior Secondary</x:v>
      </x:c>
      <x:c r="C81" s="21" t="str">
        <x:v>Grades 11–12</x:v>
      </x:c>
      <x:c r="D81" s="21" t="str">
        <x:v>CBSE Physics; ISC Physics; State-board Physics</x:v>
      </x:c>
      <x:c r="E81" s="21" t="str">
        <x:v>Electronics</x:v>
      </x:c>
      <x:c r="F81" s="21" t="str">
        <x:v>Semiconductor electronics</x:v>
      </x:c>
      <x:c r="G81" s="21" t="str">
        <x:v>Transistor Characteristics and Amplifier</x:v>
      </x:c>
      <x:c r="H81" s="21" t="str">
        <x:v>BJT action; CE characteristics; gain; switch/amplifier</x:v>
      </x:c>
      <x:c r="I81" s="21" t="str">
        <x:v>Transistor curve tracer and amplifier lab</x:v>
      </x:c>
      <x:c r="J81" s="21" t="str">
        <x:v>Partial</x:v>
      </x:c>
      <x:c r="K81" s="21" t="str">
        <x:v>19: Semiconductor Diode and Rectifier</x:v>
      </x:c>
      <x:c r="L81" s="21" t="str">
        <x:v>Critical</x:v>
      </x:c>
      <x:c r="M81" s="21" t="str">
        <x:v>CBSE Physics 042, Classes XI-XII, 2026-27 • CISCE ISC Physics, Examination Year 2027 • Maharashtra SCERT Std. XII Physics Question Bank</x:v>
      </x:c>
      <x:c r="N81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81" s="21" t="str">
        <x:v>Normalized gap: confirm exact placement against the adopting board/university's latest detailed syllabus.</x:v>
      </x:c>
    </x:row>
    <x:row r="82">
      <x:c r="A82" s="22" t="n">
        <x:v>158</x:v>
      </x:c>
      <x:c r="B82" s="21" t="str">
        <x:v>Senior Secondary</x:v>
      </x:c>
      <x:c r="C82" s="21" t="str">
        <x:v>Grades 11–12</x:v>
      </x:c>
      <x:c r="D82" s="21" t="str">
        <x:v>CBSE Physics; ISC Physics; State-board Physics</x:v>
      </x:c>
      <x:c r="E82" s="21" t="str">
        <x:v>Electronics</x:v>
      </x:c>
      <x:c r="F82" s="21" t="str">
        <x:v>Communication physics</x:v>
      </x:c>
      <x:c r="G82" s="21" t="str">
        <x:v>Communication Systems and Signal Modulation</x:v>
      </x:c>
      <x:c r="H82" s="21" t="str">
        <x:v>bandwidth; AM/FM; propagation; noise</x:v>
      </x:c>
      <x:c r="I82" s="21" t="str">
        <x:v>AM modulation/demodulation lab</x:v>
      </x:c>
      <x:c r="J82" s="21" t="str">
        <x:v>Partial</x:v>
      </x:c>
      <x:c r="K82" s="21" t="str">
        <x:v>73: Electromagnetic Spectrum</x:v>
      </x:c>
      <x:c r="L82" s="21" t="str">
        <x:v>Medium</x:v>
      </x:c>
      <x:c r="M82" s="21" t="str">
        <x:v>CBSE Physics 042, Classes XI-XII, 2026-27 • CISCE ISC Physics, Examination Year 2027 • Maharashtra SCERT Std. XII Physics Question Bank</x:v>
      </x:c>
      <x:c r="N82" s="21" t="str">
        <x:v>https://cbseacademic.nic.in/web_material/CurriculumMain27/SecPart2/Physics_SecP2_2026-27.pdf • https://www.cisce.org/wp-content/uploads/2025/02/18.-ISC-Physics.pdf • https://maa.ac.in/documents/examcontent1012/12/ExamContent_Std_12_Physics_Science.pdf</x:v>
      </x:c>
      <x:c r="O82" s="21" t="str">
        <x:v>Normalized gap: confirm exact placement against the adopting board/university's latest detailed syllabus.</x:v>
      </x:c>
    </x:row>
    <x:row r="83">
      <x:c r="A83" s="22" t="n">
        <x:v>159</x:v>
      </x:c>
      <x:c r="B83" s="21" t="str">
        <x:v>Undergraduate</x:v>
      </x:c>
      <x:c r="C83" s="21" t="str">
        <x:v>BSc/BS Years 1–4</x:v>
      </x:c>
      <x:c r="D83" s="21" t="str">
        <x:v>UGC-aligned university core; representative DU/IISc curricula</x:v>
      </x:c>
      <x:c r="E83" s="21" t="str">
        <x:v>Mathematical Physics</x:v>
      </x:c>
      <x:c r="F83" s="21" t="str">
        <x:v>Vector analysis</x:v>
      </x:c>
      <x:c r="G83" s="21" t="str">
        <x:v>Vector Calculus for Physics</x:v>
      </x:c>
      <x:c r="H83" s="21" t="str">
        <x:v>gradient; divergence; curl; integral theorems</x:v>
      </x:c>
      <x:c r="I83" s="21" t="str">
        <x:v>Field calculus visualizer</x:v>
      </x:c>
      <x:c r="J83" s="21" t="str">
        <x:v>Partial</x:v>
      </x:c>
      <x:c r="K83" s="21" t="str">
        <x:v>46: Vector Resolution</x:v>
      </x:c>
      <x:c r="L83" s="21" t="str">
        <x:v>Critical</x:v>
      </x:c>
      <x:c r="M83" s="21" t="str">
        <x:v>UGC Curriculum and Credit Framework for Undergraduate Programmes • University of Delhi — Physics and Astrophysics syllabi • IISc BS Physics course structure</x:v>
      </x:c>
      <x:c r="N83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83" s="21" t="str">
        <x:v>Normalized gap: confirm exact placement against the adopting board/university's latest detailed syllabus.</x:v>
      </x:c>
    </x:row>
    <x:row r="84">
      <x:c r="A84" s="22" t="n">
        <x:v>160</x:v>
      </x:c>
      <x:c r="B84" s="21" t="str">
        <x:v>Undergraduate</x:v>
      </x:c>
      <x:c r="C84" s="21" t="str">
        <x:v>BSc/BS Years 1–4</x:v>
      </x:c>
      <x:c r="D84" s="21" t="str">
        <x:v>UGC-aligned university core; representative DU/IISc curricula</x:v>
      </x:c>
      <x:c r="E84" s="21" t="str">
        <x:v>Mathematical Physics</x:v>
      </x:c>
      <x:c r="F84" s="21" t="str">
        <x:v>Differential equations</x:v>
      </x:c>
      <x:c r="G84" s="21" t="str">
        <x:v>Ordinary Differential Equations in Physical Systems</x:v>
      </x:c>
      <x:c r="H84" s="21" t="str">
        <x:v>first/second-order ODEs; boundary/initial conditions</x:v>
      </x:c>
      <x:c r="I84" s="21" t="str">
        <x:v>Numerical oscillator and decay solver</x:v>
      </x:c>
      <x:c r="J84" s="21" t="str">
        <x:v>Partial</x:v>
      </x:c>
      <x:c r="K84" s="21" t="str">
        <x:v>29: Computational Physics Workflow</x:v>
      </x:c>
      <x:c r="L84" s="21" t="str">
        <x:v>Critical</x:v>
      </x:c>
      <x:c r="M84" s="21" t="str">
        <x:v>UGC Curriculum and Credit Framework for Undergraduate Programmes • University of Delhi — Physics and Astrophysics syllabi • IISc BS Physics course structure</x:v>
      </x:c>
      <x:c r="N84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84" s="21" t="str">
        <x:v>Normalized gap: confirm exact placement against the adopting board/university's latest detailed syllabus.</x:v>
      </x:c>
    </x:row>
    <x:row r="85">
      <x:c r="A85" s="22" t="n">
        <x:v>161</x:v>
      </x:c>
      <x:c r="B85" s="21" t="str">
        <x:v>Undergraduate</x:v>
      </x:c>
      <x:c r="C85" s="21" t="str">
        <x:v>BSc/BS Years 1–4</x:v>
      </x:c>
      <x:c r="D85" s="21" t="str">
        <x:v>UGC-aligned university core; representative DU/IISc curricula</x:v>
      </x:c>
      <x:c r="E85" s="21" t="str">
        <x:v>Mathematical Physics</x:v>
      </x:c>
      <x:c r="F85" s="21" t="str">
        <x:v>Transforms</x:v>
      </x:c>
      <x:c r="G85" s="21" t="str">
        <x:v>Fourier Series, Fourier Transform and Spectra</x:v>
      </x:c>
      <x:c r="H85" s="21" t="str">
        <x:v>harmonic decomposition; transform pairs; convolution</x:v>
      </x:c>
      <x:c r="I85" s="21" t="str">
        <x:v>Interactive Fourier synthesizer</x:v>
      </x:c>
      <x:c r="J85" s="21" t="str">
        <x:v>Partial</x:v>
      </x:c>
      <x:c r="K85" s="21" t="str">
        <x:v>79: Wave Lab</x:v>
      </x:c>
      <x:c r="L85" s="21" t="str">
        <x:v>Critical</x:v>
      </x:c>
      <x:c r="M85" s="21" t="str">
        <x:v>UGC Curriculum and Credit Framework for Undergraduate Programmes • University of Delhi — Physics and Astrophysics syllabi • IISc BS Physics course structure</x:v>
      </x:c>
      <x:c r="N85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85" s="21" t="str">
        <x:v>Normalized gap: confirm exact placement against the adopting board/university's latest detailed syllabus.</x:v>
      </x:c>
    </x:row>
    <x:row r="86">
      <x:c r="A86" s="22" t="n">
        <x:v>162</x:v>
      </x:c>
      <x:c r="B86" s="21" t="str">
        <x:v>Undergraduate</x:v>
      </x:c>
      <x:c r="C86" s="21" t="str">
        <x:v>BSc/BS Years 1–4</x:v>
      </x:c>
      <x:c r="D86" s="21" t="str">
        <x:v>UGC-aligned university core; representative DU/IISc curricula</x:v>
      </x:c>
      <x:c r="E86" s="21" t="str">
        <x:v>Mathematical Physics</x:v>
      </x:c>
      <x:c r="F86" s="21" t="str">
        <x:v>Transforms</x:v>
      </x:c>
      <x:c r="G86" s="21" t="str">
        <x:v>Laplace Transforms and Linear Systems</x:v>
      </x:c>
      <x:c r="H86" s="21" t="str">
        <x:v>Laplace methods; transfer functions; transients</x:v>
      </x:c>
      <x:c r="I86" s="21" t="str">
        <x:v>RC/RLC transient solver</x:v>
      </x:c>
      <x:c r="J86" s="21" t="str">
        <x:v>Partial</x:v>
      </x:c>
      <x:c r="K86" s="21" t="str">
        <x:v>4: AC LCR Resonance</x:v>
      </x:c>
      <x:c r="L86" s="21" t="str">
        <x:v>High</x:v>
      </x:c>
      <x:c r="M86" s="21" t="str">
        <x:v>UGC Curriculum and Credit Framework for Undergraduate Programmes • University of Delhi — Physics and Astrophysics syllabi • IISc BS Physics course structure</x:v>
      </x:c>
      <x:c r="N86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86" s="21" t="str">
        <x:v>Normalized gap: confirm exact placement against the adopting board/university's latest detailed syllabus.</x:v>
      </x:c>
    </x:row>
    <x:row r="87">
      <x:c r="A87" s="22" t="n">
        <x:v>163</x:v>
      </x:c>
      <x:c r="B87" s="21" t="str">
        <x:v>Undergraduate</x:v>
      </x:c>
      <x:c r="C87" s="21" t="str">
        <x:v>BSc/BS Years 1–4</x:v>
      </x:c>
      <x:c r="D87" s="21" t="str">
        <x:v>UGC-aligned university core; representative DU/IISc curricula</x:v>
      </x:c>
      <x:c r="E87" s="21" t="str">
        <x:v>Mathematical Physics</x:v>
      </x:c>
      <x:c r="F87" s="21" t="str">
        <x:v>Complex analysis</x:v>
      </x:c>
      <x:c r="G87" s="21" t="str">
        <x:v>Complex Variables and Contour Integration</x:v>
      </x:c>
      <x:c r="H87" s="21" t="str">
        <x:v>analytic functions; residues; contour methods</x:v>
      </x:c>
      <x:c r="I87" s="21" t="str">
        <x:v>Complex-plane mapping explorer</x:v>
      </x:c>
      <x:c r="J87" s="21" t="str">
        <x:v>Missing</x:v>
      </x:c>
      <x:c r="K87" s="21" t="str">
        <x:v>None</x:v>
      </x:c>
      <x:c r="L87" s="21" t="str">
        <x:v>High</x:v>
      </x:c>
      <x:c r="M87" s="21" t="str">
        <x:v>UGC Curriculum and Credit Framework for Undergraduate Programmes • University of Delhi — Physics and Astrophysics syllabi • IISc BS Physics course structure</x:v>
      </x:c>
      <x:c r="N87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87" s="21" t="str">
        <x:v>Normalized gap: confirm exact placement against the adopting board/university's latest detailed syllabus.</x:v>
      </x:c>
    </x:row>
    <x:row r="88">
      <x:c r="A88" s="22" t="n">
        <x:v>164</x:v>
      </x:c>
      <x:c r="B88" s="21" t="str">
        <x:v>Undergraduate</x:v>
      </x:c>
      <x:c r="C88" s="21" t="str">
        <x:v>BSc/BS Years 1–4</x:v>
      </x:c>
      <x:c r="D88" s="21" t="str">
        <x:v>UGC-aligned university core; representative DU/IISc curricula</x:v>
      </x:c>
      <x:c r="E88" s="21" t="str">
        <x:v>Mathematical Physics</x:v>
      </x:c>
      <x:c r="F88" s="21" t="str">
        <x:v>Tensor analysis</x:v>
      </x:c>
      <x:c r="G88" s="21" t="str">
        <x:v>Tensors and Coordinate Transformations</x:v>
      </x:c>
      <x:c r="H88" s="21" t="str">
        <x:v>index notation; metric; transformations</x:v>
      </x:c>
      <x:c r="I88" s="21" t="str">
        <x:v>Tensor component transformation lab</x:v>
      </x:c>
      <x:c r="J88" s="21" t="str">
        <x:v>Missing</x:v>
      </x:c>
      <x:c r="K88" s="21" t="str">
        <x:v>None</x:v>
      </x:c>
      <x:c r="L88" s="21" t="str">
        <x:v>High</x:v>
      </x:c>
      <x:c r="M88" s="21" t="str">
        <x:v>UGC Curriculum and Credit Framework for Undergraduate Programmes • University of Delhi — Physics and Astrophysics syllabi • IISc BS Physics course structure</x:v>
      </x:c>
      <x:c r="N88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88" s="21" t="str">
        <x:v>Normalized gap: confirm exact placement against the adopting board/university's latest detailed syllabus.</x:v>
      </x:c>
    </x:row>
    <x:row r="89">
      <x:c r="A89" s="22" t="n">
        <x:v>165</x:v>
      </x:c>
      <x:c r="B89" s="21" t="str">
        <x:v>Undergraduate</x:v>
      </x:c>
      <x:c r="C89" s="21" t="str">
        <x:v>BSc/BS Years 1–4</x:v>
      </x:c>
      <x:c r="D89" s="21" t="str">
        <x:v>UGC-aligned university core; representative DU/IISc curricula</x:v>
      </x:c>
      <x:c r="E89" s="21" t="str">
        <x:v>Mechanics</x:v>
      </x:c>
      <x:c r="F89" s="21" t="str">
        <x:v>Analytical mechanics</x:v>
      </x:c>
      <x:c r="G89" s="21" t="str">
        <x:v>Lagrangian Mechanics</x:v>
      </x:c>
      <x:c r="H89" s="21" t="str">
        <x:v>generalized coordinates; constraints; Euler-Lagrange equations</x:v>
      </x:c>
      <x:c r="I89" s="21" t="str">
        <x:v>Double-pendulum Lagrangian builder</x:v>
      </x:c>
      <x:c r="J89" s="21" t="str">
        <x:v>Partial</x:v>
      </x:c>
      <x:c r="K89" s="21" t="str">
        <x:v>64: Chaotic and Coupled Oscillators</x:v>
      </x:c>
      <x:c r="L89" s="21" t="str">
        <x:v>Critical</x:v>
      </x:c>
      <x:c r="M89" s="21" t="str">
        <x:v>UGC Curriculum and Credit Framework for Undergraduate Programmes • University of Delhi — Physics and Astrophysics syllabi • IISc BS Physics course structure</x:v>
      </x:c>
      <x:c r="N89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89" s="21" t="str">
        <x:v>Normalized gap: confirm exact placement against the adopting board/university's latest detailed syllabus.</x:v>
      </x:c>
    </x:row>
    <x:row r="90">
      <x:c r="A90" s="22" t="n">
        <x:v>166</x:v>
      </x:c>
      <x:c r="B90" s="21" t="str">
        <x:v>Undergraduate</x:v>
      </x:c>
      <x:c r="C90" s="21" t="str">
        <x:v>BSc/BS Years 1–4</x:v>
      </x:c>
      <x:c r="D90" s="21" t="str">
        <x:v>UGC-aligned university core; representative DU/IISc curricula</x:v>
      </x:c>
      <x:c r="E90" s="21" t="str">
        <x:v>Mechanics</x:v>
      </x:c>
      <x:c r="F90" s="21" t="str">
        <x:v>Analytical mechanics</x:v>
      </x:c>
      <x:c r="G90" s="21" t="str">
        <x:v>Hamiltonian Mechanics and Phase Space</x:v>
      </x:c>
      <x:c r="H90" s="21" t="str">
        <x:v>canonical variables; Hamilton equations; phase portraits</x:v>
      </x:c>
      <x:c r="I90" s="21" t="str">
        <x:v>Phase-space orbit explorer</x:v>
      </x:c>
      <x:c r="J90" s="21" t="str">
        <x:v>Partial</x:v>
      </x:c>
      <x:c r="K90" s="21" t="str">
        <x:v>64: Chaotic and Coupled Oscillators</x:v>
      </x:c>
      <x:c r="L90" s="21" t="str">
        <x:v>High</x:v>
      </x:c>
      <x:c r="M90" s="21" t="str">
        <x:v>UGC Curriculum and Credit Framework for Undergraduate Programmes • University of Delhi — Physics and Astrophysics syllabi • IISc BS Physics course structure</x:v>
      </x:c>
      <x:c r="N90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90" s="21" t="str">
        <x:v>Normalized gap: confirm exact placement against the adopting board/university's latest detailed syllabus.</x:v>
      </x:c>
    </x:row>
    <x:row r="91">
      <x:c r="A91" s="22" t="n">
        <x:v>167</x:v>
      </x:c>
      <x:c r="B91" s="21" t="str">
        <x:v>Undergraduate</x:v>
      </x:c>
      <x:c r="C91" s="21" t="str">
        <x:v>BSc/BS Years 1–4</x:v>
      </x:c>
      <x:c r="D91" s="21" t="str">
        <x:v>UGC-aligned university core; representative DU/IISc curricula</x:v>
      </x:c>
      <x:c r="E91" s="21" t="str">
        <x:v>Mechanics</x:v>
      </x:c>
      <x:c r="F91" s="21" t="str">
        <x:v>Classical mechanics</x:v>
      </x:c>
      <x:c r="G91" s="21" t="str">
        <x:v>Central-Force Motion and Scattering</x:v>
      </x:c>
      <x:c r="H91" s="21" t="str">
        <x:v>effective potential; orbits; Rutherford scattering</x:v>
      </x:c>
      <x:c r="I91" s="21" t="str">
        <x:v>Central-potential orbit and scattering lab</x:v>
      </x:c>
      <x:c r="J91" s="21" t="str">
        <x:v>Partial</x:v>
      </x:c>
      <x:c r="K91" s="21" t="str">
        <x:v>2: Universal Gravitation Field Map</x:v>
      </x:c>
      <x:c r="L91" s="21" t="str">
        <x:v>High</x:v>
      </x:c>
      <x:c r="M91" s="21" t="str">
        <x:v>UGC Curriculum and Credit Framework for Undergraduate Programmes • University of Delhi — Physics and Astrophysics syllabi • IISc BS Physics course structure</x:v>
      </x:c>
      <x:c r="N91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91" s="21" t="str">
        <x:v>Normalized gap: confirm exact placement against the adopting board/university's latest detailed syllabus.</x:v>
      </x:c>
    </x:row>
    <x:row r="92">
      <x:c r="A92" s="22" t="n">
        <x:v>168</x:v>
      </x:c>
      <x:c r="B92" s="21" t="str">
        <x:v>Undergraduate</x:v>
      </x:c>
      <x:c r="C92" s="21" t="str">
        <x:v>BSc/BS Years 1–4</x:v>
      </x:c>
      <x:c r="D92" s="21" t="str">
        <x:v>UGC-aligned university core; representative DU/IISc curricula</x:v>
      </x:c>
      <x:c r="E92" s="21" t="str">
        <x:v>Oscillations</x:v>
      </x:c>
      <x:c r="F92" s="21" t="str">
        <x:v>Oscillations</x:v>
      </x:c>
      <x:c r="G92" s="21" t="str">
        <x:v>Normal Modes and Coupled Oscillations</x:v>
      </x:c>
      <x:c r="H92" s="21" t="str">
        <x:v>eigenfrequencies; normal coordinates; beats</x:v>
      </x:c>
      <x:c r="I92" s="21" t="str">
        <x:v>Coupled-pendulum normal-mode lab</x:v>
      </x:c>
      <x:c r="J92" s="21" t="str">
        <x:v>Partial</x:v>
      </x:c>
      <x:c r="K92" s="21" t="str">
        <x:v>64: Chaotic and Coupled Oscillators</x:v>
      </x:c>
      <x:c r="L92" s="21" t="str">
        <x:v>High</x:v>
      </x:c>
      <x:c r="M92" s="21" t="str">
        <x:v>UGC Curriculum and Credit Framework for Undergraduate Programmes • University of Delhi — Physics and Astrophysics syllabi • IISc BS Physics course structure</x:v>
      </x:c>
      <x:c r="N92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92" s="21" t="str">
        <x:v>Normalized gap: confirm exact placement against the adopting board/university's latest detailed syllabus.</x:v>
      </x:c>
    </x:row>
    <x:row r="93">
      <x:c r="A93" s="22" t="n">
        <x:v>169</x:v>
      </x:c>
      <x:c r="B93" s="21" t="str">
        <x:v>Undergraduate</x:v>
      </x:c>
      <x:c r="C93" s="21" t="str">
        <x:v>BSc/BS Years 1–4</x:v>
      </x:c>
      <x:c r="D93" s="21" t="str">
        <x:v>UGC-aligned university core; representative DU/IISc curricula</x:v>
      </x:c>
      <x:c r="E93" s="21" t="str">
        <x:v>Electricity</x:v>
      </x:c>
      <x:c r="F93" s="21" t="str">
        <x:v>Electromagnetic theory</x:v>
      </x:c>
      <x:c r="G93" s="21" t="str">
        <x:v>Boundary-Value Electrostatics and Method of Images</x:v>
      </x:c>
      <x:c r="H93" s="21" t="str">
        <x:v>Laplace/Poisson equations; conductors; image charges</x:v>
      </x:c>
      <x:c r="I93" s="21" t="str">
        <x:v>Boundary-condition field solver</x:v>
      </x:c>
      <x:c r="J93" s="21" t="str">
        <x:v>Partial</x:v>
      </x:c>
      <x:c r="K93" s="21" t="str">
        <x:v>9: Electrostatic Field and Potential</x:v>
      </x:c>
      <x:c r="L93" s="21" t="str">
        <x:v>High</x:v>
      </x:c>
      <x:c r="M93" s="21" t="str">
        <x:v>UGC Curriculum and Credit Framework for Undergraduate Programmes • University of Delhi — Physics and Astrophysics syllabi • IISc BS Physics course structure</x:v>
      </x:c>
      <x:c r="N93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93" s="21" t="str">
        <x:v>Normalized gap: confirm exact placement against the adopting board/university's latest detailed syllabus.</x:v>
      </x:c>
    </x:row>
    <x:row r="94">
      <x:c r="A94" s="22" t="n">
        <x:v>170</x:v>
      </x:c>
      <x:c r="B94" s="21" t="str">
        <x:v>Undergraduate</x:v>
      </x:c>
      <x:c r="C94" s="21" t="str">
        <x:v>BSc/BS Years 1–4</x:v>
      </x:c>
      <x:c r="D94" s="21" t="str">
        <x:v>UGC-aligned university core; representative DU/IISc curricula</x:v>
      </x:c>
      <x:c r="E94" s="21" t="str">
        <x:v>Electricity</x:v>
      </x:c>
      <x:c r="F94" s="21" t="str">
        <x:v>Electromagnetic theory</x:v>
      </x:c>
      <x:c r="G94" s="21" t="str">
        <x:v>Maxwell Equations and Electromagnetic Waves</x:v>
      </x:c>
      <x:c r="H94" s="21" t="str">
        <x:v>Maxwell equations; potentials; Poynting vector; waves</x:v>
      </x:c>
      <x:c r="I94" s="21" t="str">
        <x:v>EM field propagation lab</x:v>
      </x:c>
      <x:c r="J94" s="21" t="str">
        <x:v>Partial</x:v>
      </x:c>
      <x:c r="K94" s="21" t="str">
        <x:v>73: Electromagnetic Spectrum</x:v>
      </x:c>
      <x:c r="L94" s="21" t="str">
        <x:v>Critical</x:v>
      </x:c>
      <x:c r="M94" s="21" t="str">
        <x:v>UGC Curriculum and Credit Framework for Undergraduate Programmes • University of Delhi — Physics and Astrophysics syllabi • IISc BS Physics course structure</x:v>
      </x:c>
      <x:c r="N94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94" s="21" t="str">
        <x:v>Normalized gap: confirm exact placement against the adopting board/university's latest detailed syllabus.</x:v>
      </x:c>
    </x:row>
    <x:row r="95">
      <x:c r="A95" s="22" t="n">
        <x:v>171</x:v>
      </x:c>
      <x:c r="B95" s="21" t="str">
        <x:v>Undergraduate</x:v>
      </x:c>
      <x:c r="C95" s="21" t="str">
        <x:v>BSc/BS Years 1–4</x:v>
      </x:c>
      <x:c r="D95" s="21" t="str">
        <x:v>UGC-aligned university core; representative DU/IISc curricula</x:v>
      </x:c>
      <x:c r="E95" s="21" t="str">
        <x:v>Electricity</x:v>
      </x:c>
      <x:c r="F95" s="21" t="str">
        <x:v>Applied electromagnetics</x:v>
      </x:c>
      <x:c r="G95" s="21" t="str">
        <x:v>Transmission Lines, Waveguides and Antennas</x:v>
      </x:c>
      <x:c r="H95" s="21" t="str">
        <x:v>impedance; standing waves; modes; radiation</x:v>
      </x:c>
      <x:c r="I95" s="21" t="str">
        <x:v>Smith-chart/waveguide mode simulator</x:v>
      </x:c>
      <x:c r="J95" s="21" t="str">
        <x:v>Partial</x:v>
      </x:c>
      <x:c r="K95" s="21" t="str">
        <x:v>4: AC LCR Resonance</x:v>
      </x:c>
      <x:c r="L95" s="21" t="str">
        <x:v>High</x:v>
      </x:c>
      <x:c r="M95" s="21" t="str">
        <x:v>UGC Curriculum and Credit Framework for Undergraduate Programmes • University of Delhi — Physics and Astrophysics syllabi • IISc BS Physics course structure</x:v>
      </x:c>
      <x:c r="N95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95" s="21" t="str">
        <x:v>Normalized gap: confirm exact placement against the adopting board/university's latest detailed syllabus.</x:v>
      </x:c>
    </x:row>
    <x:row r="96">
      <x:c r="A96" s="22" t="n">
        <x:v>172</x:v>
      </x:c>
      <x:c r="B96" s="21" t="str">
        <x:v>Undergraduate</x:v>
      </x:c>
      <x:c r="C96" s="21" t="str">
        <x:v>BSc/BS Years 1–4</x:v>
      </x:c>
      <x:c r="D96" s="21" t="str">
        <x:v>UGC-aligned university core; representative DU/IISc curricula</x:v>
      </x:c>
      <x:c r="E96" s="21" t="str">
        <x:v>Electronics</x:v>
      </x:c>
      <x:c r="F96" s="21" t="str">
        <x:v>Circuit analysis</x:v>
      </x:c>
      <x:c r="G96" s="21" t="str">
        <x:v>Network Theorems and Transient Circuits</x:v>
      </x:c>
      <x:c r="H96" s="21" t="str">
        <x:v>Thevenin/Norton; superposition; RC/RL transients</x:v>
      </x:c>
      <x:c r="I96" s="21" t="str">
        <x:v>Circuit network analyzer</x:v>
      </x:c>
      <x:c r="J96" s="21" t="str">
        <x:v>Partial</x:v>
      </x:c>
      <x:c r="K96" s="21" t="str">
        <x:v>12: Kirchhoff Circuit Rules</x:v>
      </x:c>
      <x:c r="L96" s="21" t="str">
        <x:v>Critical</x:v>
      </x:c>
      <x:c r="M96" s="21" t="str">
        <x:v>UGC Curriculum and Credit Framework for Undergraduate Programmes • University of Delhi — Physics and Astrophysics syllabi • IISc BS Physics course structure</x:v>
      </x:c>
      <x:c r="N96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96" s="21" t="str">
        <x:v>Normalized gap: confirm exact placement against the adopting board/university's latest detailed syllabus.</x:v>
      </x:c>
    </x:row>
    <x:row r="97">
      <x:c r="A97" s="22" t="n">
        <x:v>173</x:v>
      </x:c>
      <x:c r="B97" s="21" t="str">
        <x:v>Undergraduate</x:v>
      </x:c>
      <x:c r="C97" s="21" t="str">
        <x:v>BSc/BS Years 1–4</x:v>
      </x:c>
      <x:c r="D97" s="21" t="str">
        <x:v>UGC-aligned university core; representative DU/IISc curricula</x:v>
      </x:c>
      <x:c r="E97" s="21" t="str">
        <x:v>Electronics</x:v>
      </x:c>
      <x:c r="F97" s="21" t="str">
        <x:v>Analog electronics</x:v>
      </x:c>
      <x:c r="G97" s="21" t="str">
        <x:v>Operational Amplifiers and Active Filters</x:v>
      </x:c>
      <x:c r="H97" s="21" t="str">
        <x:v>ideal op-amp; feedback; filters; oscillators</x:v>
      </x:c>
      <x:c r="I97" s="21" t="str">
        <x:v>Virtual op-amp workbench</x:v>
      </x:c>
      <x:c r="J97" s="21" t="str">
        <x:v>Partial</x:v>
      </x:c>
      <x:c r="K97" s="21" t="str">
        <x:v>18: Logic Gates</x:v>
      </x:c>
      <x:c r="L97" s="21" t="str">
        <x:v>Critical</x:v>
      </x:c>
      <x:c r="M97" s="21" t="str">
        <x:v>UGC Curriculum and Credit Framework for Undergraduate Programmes • University of Delhi — Physics and Astrophysics syllabi • IISc BS Physics course structure</x:v>
      </x:c>
      <x:c r="N97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97" s="21" t="str">
        <x:v>Normalized gap: confirm exact placement against the adopting board/university's latest detailed syllabus.</x:v>
      </x:c>
    </x:row>
    <x:row r="98">
      <x:c r="A98" s="22" t="n">
        <x:v>174</x:v>
      </x:c>
      <x:c r="B98" s="21" t="str">
        <x:v>Undergraduate</x:v>
      </x:c>
      <x:c r="C98" s="21" t="str">
        <x:v>BSc/BS Years 1–4</x:v>
      </x:c>
      <x:c r="D98" s="21" t="str">
        <x:v>UGC-aligned university core; representative DU/IISc curricula</x:v>
      </x:c>
      <x:c r="E98" s="21" t="str">
        <x:v>Electronics</x:v>
      </x:c>
      <x:c r="F98" s="21" t="str">
        <x:v>Digital electronics</x:v>
      </x:c>
      <x:c r="G98" s="21" t="str">
        <x:v>Digital Systems, Counters and Data Conversion</x:v>
      </x:c>
      <x:c r="H98" s="21" t="str">
        <x:v>flip-flops; registers; counters; ADC/DAC</x:v>
      </x:c>
      <x:c r="I98" s="21" t="str">
        <x:v>Digital logic timing lab</x:v>
      </x:c>
      <x:c r="J98" s="21" t="str">
        <x:v>Partial</x:v>
      </x:c>
      <x:c r="K98" s="21" t="str">
        <x:v>18: Logic Gates</x:v>
      </x:c>
      <x:c r="L98" s="21" t="str">
        <x:v>High</x:v>
      </x:c>
      <x:c r="M98" s="21" t="str">
        <x:v>UGC Curriculum and Credit Framework for Undergraduate Programmes • University of Delhi — Physics and Astrophysics syllabi • IISc BS Physics course structure</x:v>
      </x:c>
      <x:c r="N98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98" s="21" t="str">
        <x:v>Normalized gap: confirm exact placement against the adopting board/university's latest detailed syllabus.</x:v>
      </x:c>
    </x:row>
    <x:row r="99">
      <x:c r="A99" s="22" t="n">
        <x:v>175</x:v>
      </x:c>
      <x:c r="B99" s="21" t="str">
        <x:v>Undergraduate</x:v>
      </x:c>
      <x:c r="C99" s="21" t="str">
        <x:v>BSc/BS Years 1–4</x:v>
      </x:c>
      <x:c r="D99" s="21" t="str">
        <x:v>UGC-aligned university core; representative DU/IISc curricula</x:v>
      </x:c>
      <x:c r="E99" s="21" t="str">
        <x:v>Modern Physics</x:v>
      </x:c>
      <x:c r="F99" s="21" t="str">
        <x:v>Quantum mechanics</x:v>
      </x:c>
      <x:c r="G99" s="21" t="str">
        <x:v>Quantum States, Spin and Angular Momentum</x:v>
      </x:c>
      <x:c r="H99" s="21" t="str">
        <x:v>Hilbert space; spin; commutators; addition of angular momentum</x:v>
      </x:c>
      <x:c r="I99" s="21" t="str">
        <x:v>Stern-Gerlach and spin-state lab</x:v>
      </x:c>
      <x:c r="J99" s="21" t="str">
        <x:v>Partial</x:v>
      </x:c>
      <x:c r="K99" s="21" t="str">
        <x:v>48: Advanced Quantum Operators</x:v>
      </x:c>
      <x:c r="L99" s="21" t="str">
        <x:v>Critical</x:v>
      </x:c>
      <x:c r="M99" s="21" t="str">
        <x:v>UGC Curriculum and Credit Framework for Undergraduate Programmes • University of Delhi — Physics and Astrophysics syllabi • IISc BS Physics course structure</x:v>
      </x:c>
      <x:c r="N99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99" s="21" t="str">
        <x:v>Normalized gap: confirm exact placement against the adopting board/university's latest detailed syllabus.</x:v>
      </x:c>
    </x:row>
    <x:row r="100">
      <x:c r="A100" s="22" t="n">
        <x:v>176</x:v>
      </x:c>
      <x:c r="B100" s="21" t="str">
        <x:v>Undergraduate</x:v>
      </x:c>
      <x:c r="C100" s="21" t="str">
        <x:v>BSc/BS Years 1–4</x:v>
      </x:c>
      <x:c r="D100" s="21" t="str">
        <x:v>UGC-aligned university core; representative DU/IISc curricula</x:v>
      </x:c>
      <x:c r="E100" s="21" t="str">
        <x:v>Modern Physics</x:v>
      </x:c>
      <x:c r="F100" s="21" t="str">
        <x:v>Quantum mechanics</x:v>
      </x:c>
      <x:c r="G100" s="21" t="str">
        <x:v>Approximation Methods in Quantum Mechanics</x:v>
      </x:c>
      <x:c r="H100" s="21" t="str">
        <x:v>perturbation; variational; WKB methods</x:v>
      </x:c>
      <x:c r="I100" s="21" t="str">
        <x:v>Approximation comparison for model potentials</x:v>
      </x:c>
      <x:c r="J100" s="21" t="str">
        <x:v>Partial</x:v>
      </x:c>
      <x:c r="K100" s="21" t="str">
        <x:v>48: Advanced Quantum Operators</x:v>
      </x:c>
      <x:c r="L100" s="21" t="str">
        <x:v>High</x:v>
      </x:c>
      <x:c r="M100" s="21" t="str">
        <x:v>UGC Curriculum and Credit Framework for Undergraduate Programmes • University of Delhi — Physics and Astrophysics syllabi • IISc BS Physics course structure</x:v>
      </x:c>
      <x:c r="N100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100" s="21" t="str">
        <x:v>Normalized gap: confirm exact placement against the adopting board/university's latest detailed syllabus.</x:v>
      </x:c>
    </x:row>
    <x:row r="101">
      <x:c r="A101" s="22" t="n">
        <x:v>177</x:v>
      </x:c>
      <x:c r="B101" s="21" t="str">
        <x:v>Undergraduate</x:v>
      </x:c>
      <x:c r="C101" s="21" t="str">
        <x:v>BSc/BS Years 1–4</x:v>
      </x:c>
      <x:c r="D101" s="21" t="str">
        <x:v>UGC-aligned university core; representative DU/IISc curricula</x:v>
      </x:c>
      <x:c r="E101" s="21" t="str">
        <x:v>Modern Physics</x:v>
      </x:c>
      <x:c r="F101" s="21" t="str">
        <x:v>Quantum mechanics</x:v>
      </x:c>
      <x:c r="G101" s="21" t="str">
        <x:v>Identical Particles and Quantum Statistics</x:v>
      </x:c>
      <x:c r="H101" s="21" t="str">
        <x:v>symmetrization; fermions/bosons; Pauli principle</x:v>
      </x:c>
      <x:c r="I101" s="21" t="str">
        <x:v>Two-particle state builder</x:v>
      </x:c>
      <x:c r="J101" s="21" t="str">
        <x:v>Partial</x:v>
      </x:c>
      <x:c r="K101" s="21" t="str">
        <x:v>69: Statistical Ensemble Lab</x:v>
      </x:c>
      <x:c r="L101" s="21" t="str">
        <x:v>High</x:v>
      </x:c>
      <x:c r="M101" s="21" t="str">
        <x:v>UGC Curriculum and Credit Framework for Undergraduate Programmes • University of Delhi — Physics and Astrophysics syllabi • IISc BS Physics course structure</x:v>
      </x:c>
      <x:c r="N101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101" s="21" t="str">
        <x:v>Normalized gap: confirm exact placement against the adopting board/university's latest detailed syllabus.</x:v>
      </x:c>
    </x:row>
    <x:row r="102">
      <x:c r="A102" s="22" t="n">
        <x:v>178</x:v>
      </x:c>
      <x:c r="B102" s="21" t="str">
        <x:v>Undergraduate</x:v>
      </x:c>
      <x:c r="C102" s="21" t="str">
        <x:v>BSc/BS Years 1–4</x:v>
      </x:c>
      <x:c r="D102" s="21" t="str">
        <x:v>UGC-aligned university core; representative DU/IISc curricula</x:v>
      </x:c>
      <x:c r="E102" s="21" t="str">
        <x:v>Condensed Matter</x:v>
      </x:c>
      <x:c r="F102" s="21" t="str">
        <x:v>Solid state physics</x:v>
      </x:c>
      <x:c r="G102" s="21" t="str">
        <x:v>Crystal Structure and X-Ray Diffraction</x:v>
      </x:c>
      <x:c r="H102" s="21" t="str">
        <x:v>lattices; reciprocal lattice; Bragg law</x:v>
      </x:c>
      <x:c r="I102" s="21" t="str">
        <x:v>Powder diffraction pattern indexer</x:v>
      </x:c>
      <x:c r="J102" s="21" t="str">
        <x:v>Missing</x:v>
      </x:c>
      <x:c r="K102" s="21" t="str">
        <x:v>None</x:v>
      </x:c>
      <x:c r="L102" s="21" t="str">
        <x:v>Critical</x:v>
      </x:c>
      <x:c r="M102" s="21" t="str">
        <x:v>UGC Curriculum and Credit Framework for Undergraduate Programmes • University of Delhi — Physics and Astrophysics syllabi • IISc BS Physics course structure</x:v>
      </x:c>
      <x:c r="N102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102" s="21" t="str">
        <x:v>Normalized gap: confirm exact placement against the adopting board/university's latest detailed syllabus.</x:v>
      </x:c>
    </x:row>
    <x:row r="103">
      <x:c r="A103" s="22" t="n">
        <x:v>179</x:v>
      </x:c>
      <x:c r="B103" s="21" t="str">
        <x:v>Undergraduate</x:v>
      </x:c>
      <x:c r="C103" s="21" t="str">
        <x:v>BSc/BS Years 1–4</x:v>
      </x:c>
      <x:c r="D103" s="21" t="str">
        <x:v>UGC-aligned university core; representative DU/IISc curricula</x:v>
      </x:c>
      <x:c r="E103" s="21" t="str">
        <x:v>Condensed Matter</x:v>
      </x:c>
      <x:c r="F103" s="21" t="str">
        <x:v>Solid state physics</x:v>
      </x:c>
      <x:c r="G103" s="21" t="str">
        <x:v>Electronic Band Theory and Semiconductors</x:v>
      </x:c>
      <x:c r="H103" s="21" t="str">
        <x:v>bands; Fermi level; carriers; Hall effect</x:v>
      </x:c>
      <x:c r="I103" s="21" t="str">
        <x:v>Band-structure and Hall-effect lab</x:v>
      </x:c>
      <x:c r="J103" s="21" t="str">
        <x:v>Partial</x:v>
      </x:c>
      <x:c r="K103" s="21" t="str">
        <x:v>19: Semiconductor Diode and Rectifier</x:v>
      </x:c>
      <x:c r="L103" s="21" t="str">
        <x:v>Critical</x:v>
      </x:c>
      <x:c r="M103" s="21" t="str">
        <x:v>UGC Curriculum and Credit Framework for Undergraduate Programmes • University of Delhi — Physics and Astrophysics syllabi • IISc BS Physics course structure</x:v>
      </x:c>
      <x:c r="N103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103" s="21" t="str">
        <x:v>Normalized gap: confirm exact placement against the adopting board/university's latest detailed syllabus.</x:v>
      </x:c>
    </x:row>
    <x:row r="104">
      <x:c r="A104" s="22" t="n">
        <x:v>180</x:v>
      </x:c>
      <x:c r="B104" s="21" t="str">
        <x:v>Undergraduate</x:v>
      </x:c>
      <x:c r="C104" s="21" t="str">
        <x:v>BSc/BS Years 1–4</x:v>
      </x:c>
      <x:c r="D104" s="21" t="str">
        <x:v>UGC-aligned university core; representative DU/IISc curricula</x:v>
      </x:c>
      <x:c r="E104" s="21" t="str">
        <x:v>Condensed Matter</x:v>
      </x:c>
      <x:c r="F104" s="21" t="str">
        <x:v>Solid state physics</x:v>
      </x:c>
      <x:c r="G104" s="21" t="str">
        <x:v>Magnetic Materials and Superconductivity</x:v>
      </x:c>
      <x:c r="H104" s="21" t="str">
        <x:v>magnetic order; Meissner effect; critical fields</x:v>
      </x:c>
      <x:c r="I104" s="21" t="str">
        <x:v>Material phase-map simulator</x:v>
      </x:c>
      <x:c r="J104" s="21" t="str">
        <x:v>Partial</x:v>
      </x:c>
      <x:c r="K104" s="21" t="str">
        <x:v>26: Electromagnet</x:v>
      </x:c>
      <x:c r="L104" s="21" t="str">
        <x:v>High</x:v>
      </x:c>
      <x:c r="M104" s="21" t="str">
        <x:v>UGC Curriculum and Credit Framework for Undergraduate Programmes • University of Delhi — Physics and Astrophysics syllabi • IISc BS Physics course structure</x:v>
      </x:c>
      <x:c r="N104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104" s="21" t="str">
        <x:v>Normalized gap: confirm exact placement against the adopting board/university's latest detailed syllabus.</x:v>
      </x:c>
    </x:row>
    <x:row r="105">
      <x:c r="A105" s="22" t="n">
        <x:v>181</x:v>
      </x:c>
      <x:c r="B105" s="21" t="str">
        <x:v>Undergraduate</x:v>
      </x:c>
      <x:c r="C105" s="21" t="str">
        <x:v>BSc/BS Years 1–4</x:v>
      </x:c>
      <x:c r="D105" s="21" t="str">
        <x:v>UGC-aligned university core; representative DU/IISc curricula</x:v>
      </x:c>
      <x:c r="E105" s="21" t="str">
        <x:v>Modern Physics</x:v>
      </x:c>
      <x:c r="F105" s="21" t="str">
        <x:v>Spectroscopy</x:v>
      </x:c>
      <x:c r="G105" s="21" t="str">
        <x:v>Atomic and Molecular Spectroscopy</x:v>
      </x:c>
      <x:c r="H105" s="21" t="str">
        <x:v>fine structure; rotational/vibrational spectra; selection rules</x:v>
      </x:c>
      <x:c r="I105" s="21" t="str">
        <x:v>Spectrum assignment lab</x:v>
      </x:c>
      <x:c r="J105" s="21" t="str">
        <x:v>Partial</x:v>
      </x:c>
      <x:c r="K105" s="21" t="str">
        <x:v>49: Bohr Atom Transitions</x:v>
      </x:c>
      <x:c r="L105" s="21" t="str">
        <x:v>Critical</x:v>
      </x:c>
      <x:c r="M105" s="21" t="str">
        <x:v>UGC Curriculum and Credit Framework for Undergraduate Programmes • University of Delhi — Physics and Astrophysics syllabi • IISc BS Physics course structure</x:v>
      </x:c>
      <x:c r="N105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105" s="21" t="str">
        <x:v>Normalized gap: confirm exact placement against the adopting board/university's latest detailed syllabus.</x:v>
      </x:c>
    </x:row>
    <x:row r="106">
      <x:c r="A106" s="22" t="n">
        <x:v>182</x:v>
      </x:c>
      <x:c r="B106" s="21" t="str">
        <x:v>Undergraduate</x:v>
      </x:c>
      <x:c r="C106" s="21" t="str">
        <x:v>BSc/BS Years 1–4</x:v>
      </x:c>
      <x:c r="D106" s="21" t="str">
        <x:v>UGC-aligned university core; representative DU/IISc curricula</x:v>
      </x:c>
      <x:c r="E106" s="21" t="str">
        <x:v>Modern Physics</x:v>
      </x:c>
      <x:c r="F106" s="21" t="str">
        <x:v>Nuclear physics</x:v>
      </x:c>
      <x:c r="G106" s="21" t="str">
        <x:v>Nuclear Models, Reactions and Detectors</x:v>
      </x:c>
      <x:c r="H106" s="21" t="str">
        <x:v>liquid-drop/shell models; Q value; cross section; detectors</x:v>
      </x:c>
      <x:c r="I106" s="21" t="str">
        <x:v>Nuclear reaction and detector response lab</x:v>
      </x:c>
      <x:c r="J106" s="21" t="str">
        <x:v>Partial</x:v>
      </x:c>
      <x:c r="K106" s="21" t="str">
        <x:v>51: Nuclear Decay and Half-Life</x:v>
      </x:c>
      <x:c r="L106" s="21" t="str">
        <x:v>Critical</x:v>
      </x:c>
      <x:c r="M106" s="21" t="str">
        <x:v>UGC Curriculum and Credit Framework for Undergraduate Programmes • University of Delhi — Physics and Astrophysics syllabi • IISc BS Physics course structure</x:v>
      </x:c>
      <x:c r="N106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106" s="21" t="str">
        <x:v>Normalized gap: confirm exact placement against the adopting board/university's latest detailed syllabus.</x:v>
      </x:c>
    </x:row>
    <x:row r="107">
      <x:c r="A107" s="22" t="n">
        <x:v>183</x:v>
      </x:c>
      <x:c r="B107" s="21" t="str">
        <x:v>Undergraduate</x:v>
      </x:c>
      <x:c r="C107" s="21" t="str">
        <x:v>BSc/BS Years 1–4</x:v>
      </x:c>
      <x:c r="D107" s="21" t="str">
        <x:v>UGC-aligned university core; representative DU/IISc curricula</x:v>
      </x:c>
      <x:c r="E107" s="21" t="str">
        <x:v>Thermodynamics</x:v>
      </x:c>
      <x:c r="F107" s="21" t="str">
        <x:v>Statistical mechanics</x:v>
      </x:c>
      <x:c r="G107" s="21" t="str">
        <x:v>Statistical Mechanics: Ensembles and Partition Functions</x:v>
      </x:c>
      <x:c r="H107" s="21" t="str">
        <x:v>microcanonical/canonical/grand canonical; partition functions</x:v>
      </x:c>
      <x:c r="I107" s="21" t="str">
        <x:v>Ensemble sampling lab</x:v>
      </x:c>
      <x:c r="J107" s="21" t="str">
        <x:v>Partial</x:v>
      </x:c>
      <x:c r="K107" s="21" t="str">
        <x:v>69: Statistical Ensemble Lab</x:v>
      </x:c>
      <x:c r="L107" s="21" t="str">
        <x:v>Critical</x:v>
      </x:c>
      <x:c r="M107" s="21" t="str">
        <x:v>UGC Curriculum and Credit Framework for Undergraduate Programmes • University of Delhi — Physics and Astrophysics syllabi • IISc BS Physics course structure</x:v>
      </x:c>
      <x:c r="N107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107" s="21" t="str">
        <x:v>Normalized gap: confirm exact placement against the adopting board/university's latest detailed syllabus.</x:v>
      </x:c>
    </x:row>
    <x:row r="108">
      <x:c r="A108" s="22" t="n">
        <x:v>184</x:v>
      </x:c>
      <x:c r="B108" s="21" t="str">
        <x:v>Undergraduate</x:v>
      </x:c>
      <x:c r="C108" s="21" t="str">
        <x:v>BSc/BS Years 1–4</x:v>
      </x:c>
      <x:c r="D108" s="21" t="str">
        <x:v>UGC-aligned university core; representative DU/IISc curricula</x:v>
      </x:c>
      <x:c r="E108" s="21" t="str">
        <x:v>Thermodynamics</x:v>
      </x:c>
      <x:c r="F108" s="21" t="str">
        <x:v>Statistical mechanics</x:v>
      </x:c>
      <x:c r="G108" s="21" t="str">
        <x:v>Phase Transitions and Critical Phenomena</x:v>
      </x:c>
      <x:c r="H108" s="21" t="str">
        <x:v>order parameters; Ising model; critical exponents</x:v>
      </x:c>
      <x:c r="I108" s="21" t="str">
        <x:v>2D Ising Monte Carlo lab</x:v>
      </x:c>
      <x:c r="J108" s="21" t="str">
        <x:v>Partial</x:v>
      </x:c>
      <x:c r="K108" s="21" t="str">
        <x:v>69: Statistical Ensemble Lab</x:v>
      </x:c>
      <x:c r="L108" s="21" t="str">
        <x:v>High</x:v>
      </x:c>
      <x:c r="M108" s="21" t="str">
        <x:v>UGC Curriculum and Credit Framework for Undergraduate Programmes • University of Delhi — Physics and Astrophysics syllabi • IISc BS Physics course structure</x:v>
      </x:c>
      <x:c r="N108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108" s="21" t="str">
        <x:v>Normalized gap: confirm exact placement against the adopting board/university's latest detailed syllabus.</x:v>
      </x:c>
    </x:row>
    <x:row r="109">
      <x:c r="A109" s="22" t="n">
        <x:v>185</x:v>
      </x:c>
      <x:c r="B109" s="21" t="str">
        <x:v>Undergraduate</x:v>
      </x:c>
      <x:c r="C109" s="21" t="str">
        <x:v>BSc/BS Years 1–4</x:v>
      </x:c>
      <x:c r="D109" s="21" t="str">
        <x:v>UGC-aligned university core; representative DU/IISc curricula</x:v>
      </x:c>
      <x:c r="E109" s="21" t="str">
        <x:v>Optics</x:v>
      </x:c>
      <x:c r="F109" s="21" t="str">
        <x:v>Advanced optics</x:v>
      </x:c>
      <x:c r="G109" s="21" t="str">
        <x:v>Physical Optics: Interferometers and Coherence</x:v>
      </x:c>
      <x:c r="H109" s="21" t="str">
        <x:v>Michelson/Fabry-Perot; temporal/spatial coherence</x:v>
      </x:c>
      <x:c r="I109" s="21" t="str">
        <x:v>Virtual interferometer</x:v>
      </x:c>
      <x:c r="J109" s="21" t="str">
        <x:v>Partial</x:v>
      </x:c>
      <x:c r="K109" s="21" t="str">
        <x:v>80: Young's Double Slit</x:v>
      </x:c>
      <x:c r="L109" s="21" t="str">
        <x:v>High</x:v>
      </x:c>
      <x:c r="M109" s="21" t="str">
        <x:v>UGC Curriculum and Credit Framework for Undergraduate Programmes • University of Delhi — Physics and Astrophysics syllabi • IISc BS Physics course structure</x:v>
      </x:c>
      <x:c r="N109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109" s="21" t="str">
        <x:v>Normalized gap: confirm exact placement against the adopting board/university's latest detailed syllabus.</x:v>
      </x:c>
    </x:row>
    <x:row r="110">
      <x:c r="A110" s="22" t="n">
        <x:v>186</x:v>
      </x:c>
      <x:c r="B110" s="21" t="str">
        <x:v>Undergraduate</x:v>
      </x:c>
      <x:c r="C110" s="21" t="str">
        <x:v>BSc/BS Years 1–4</x:v>
      </x:c>
      <x:c r="D110" s="21" t="str">
        <x:v>UGC-aligned university core; representative DU/IISc curricula</x:v>
      </x:c>
      <x:c r="E110" s="21" t="str">
        <x:v>Optics</x:v>
      </x:c>
      <x:c r="F110" s="21" t="str">
        <x:v>Photonics</x:v>
      </x:c>
      <x:c r="G110" s="21" t="str">
        <x:v>Lasers, Fiber Optics and Photonics</x:v>
      </x:c>
      <x:c r="H110" s="21" t="str">
        <x:v>population inversion; resonators; modes; fiber dispersion</x:v>
      </x:c>
      <x:c r="I110" s="21" t="str">
        <x:v>Laser cavity and fiber link simulator</x:v>
      </x:c>
      <x:c r="J110" s="21" t="str">
        <x:v>Partial</x:v>
      </x:c>
      <x:c r="K110" s="21" t="str">
        <x:v>63: Total Internal Reflection</x:v>
      </x:c>
      <x:c r="L110" s="21" t="str">
        <x:v>Critical</x:v>
      </x:c>
      <x:c r="M110" s="21" t="str">
        <x:v>UGC Curriculum and Credit Framework for Undergraduate Programmes • University of Delhi — Physics and Astrophysics syllabi • IISc BS Physics course structure</x:v>
      </x:c>
      <x:c r="N110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110" s="21" t="str">
        <x:v>Normalized gap: confirm exact placement against the adopting board/university's latest detailed syllabus.</x:v>
      </x:c>
    </x:row>
    <x:row r="111">
      <x:c r="A111" s="22" t="n">
        <x:v>187</x:v>
      </x:c>
      <x:c r="B111" s="21" t="str">
        <x:v>Undergraduate</x:v>
      </x:c>
      <x:c r="C111" s="21" t="str">
        <x:v>BSc/BS Years 1–4</x:v>
      </x:c>
      <x:c r="D111" s="21" t="str">
        <x:v>UGC-aligned university core; representative DU/IISc curricula</x:v>
      </x:c>
      <x:c r="E111" s="21" t="str">
        <x:v>Computational Physics</x:v>
      </x:c>
      <x:c r="F111" s="21" t="str">
        <x:v>Scientific computing</x:v>
      </x:c>
      <x:c r="G111" s="21" t="str">
        <x:v>Numerical Methods and Monte Carlo Physics</x:v>
      </x:c>
      <x:c r="H111" s="21" t="str">
        <x:v>root finding; integration; ODE/PDE; random sampling</x:v>
      </x:c>
      <x:c r="I111" s="21" t="str">
        <x:v>Notebook-style numerical methods lab</x:v>
      </x:c>
      <x:c r="J111" s="21" t="str">
        <x:v>Partial</x:v>
      </x:c>
      <x:c r="K111" s="21" t="str">
        <x:v>29: Computational Physics Workflow</x:v>
      </x:c>
      <x:c r="L111" s="21" t="str">
        <x:v>Critical</x:v>
      </x:c>
      <x:c r="M111" s="21" t="str">
        <x:v>UGC Curriculum and Credit Framework for Undergraduate Programmes • University of Delhi — Physics and Astrophysics syllabi • IISc BS Physics course structure</x:v>
      </x:c>
      <x:c r="N111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111" s="21" t="str">
        <x:v>Normalized gap: confirm exact placement against the adopting board/university's latest detailed syllabus.</x:v>
      </x:c>
    </x:row>
    <x:row r="112">
      <x:c r="A112" s="22" t="n">
        <x:v>188</x:v>
      </x:c>
      <x:c r="B112" s="21" t="str">
        <x:v>Undergraduate</x:v>
      </x:c>
      <x:c r="C112" s="21" t="str">
        <x:v>BSc/BS Years 1–4</x:v>
      </x:c>
      <x:c r="D112" s="21" t="str">
        <x:v>UGC-aligned university core; representative DU/IISc curricula</x:v>
      </x:c>
      <x:c r="E112" s="21" t="str">
        <x:v>Measurement</x:v>
      </x:c>
      <x:c r="F112" s="21" t="str">
        <x:v>Experimental physics</x:v>
      </x:c>
      <x:c r="G112" s="21" t="str">
        <x:v>Experimental Data Acquisition and Instrumentation</x:v>
      </x:c>
      <x:c r="H112" s="21" t="str">
        <x:v>sensors; calibration; lock-in detection; DAQ</x:v>
      </x:c>
      <x:c r="I112" s="21" t="str">
        <x:v>Virtual oscilloscope and sensor calibration</x:v>
      </x:c>
      <x:c r="J112" s="21" t="str">
        <x:v>Partial</x:v>
      </x:c>
      <x:c r="K112" s="21" t="str">
        <x:v>30: Measurement, Error, and Significant Figures</x:v>
      </x:c>
      <x:c r="L112" s="21" t="str">
        <x:v>Critical</x:v>
      </x:c>
      <x:c r="M112" s="21" t="str">
        <x:v>UGC Curriculum and Credit Framework for Undergraduate Programmes • University of Delhi — Physics and Astrophysics syllabi • IISc BS Physics course structure</x:v>
      </x:c>
      <x:c r="N112" s="21" t="str">
        <x:v>https://www.ugc.gov.in/KeyInitiative?ID=yiPY1rgAlvz9%2F1chFf86gg%3D%3D • https://academicaffairs.du.ac.in/syllabi/department-of-physics-and-astrophysics/ • https://bs-ug.iisc.ac.in/course-structure/physics?from=home</x:v>
      </x:c>
      <x:c r="O112" s="21" t="str">
        <x:v>Normalized gap: confirm exact placement against the adopting board/university's latest detailed syllabus.</x:v>
      </x:c>
    </x:row>
    <x:row r="113">
      <x:c r="A113" s="22" t="n">
        <x:v>189</x:v>
      </x:c>
      <x:c r="B113" s="21" t="str">
        <x:v>Postgraduate</x:v>
      </x:c>
      <x:c r="C113" s="21" t="str">
        <x:v>MSc/MS</x:v>
      </x:c>
      <x:c r="D113" s="21" t="str">
        <x:v>Common MSc physics core and advanced electives; representative Indian universities</x:v>
      </x:c>
      <x:c r="E113" s="21" t="str">
        <x:v>Mathematical Physics</x:v>
      </x:c>
      <x:c r="F113" s="21" t="str">
        <x:v>Advanced methods</x:v>
      </x:c>
      <x:c r="G113" s="21" t="str">
        <x:v>Green Functions in Classical and Quantum Physics</x:v>
      </x:c>
      <x:c r="H113" s="21" t="str">
        <x:v>Green functions; propagators; boundary problems</x:v>
      </x:c>
      <x:c r="I113" s="21" t="str">
        <x:v>Green-function solution explorer</x:v>
      </x:c>
      <x:c r="J113" s="21" t="str">
        <x:v>Missing</x:v>
      </x:c>
      <x:c r="K113" s="21" t="str">
        <x:v>None</x:v>
      </x:c>
      <x:c r="L113" s="21" t="str">
        <x:v>High</x:v>
      </x:c>
      <x:c r="M113" s="21" t="str">
        <x:v>University of Delhi — Physics and Astrophysics syllabi • IISc BS Physics course structure • CSIR-UGC NET Physical Sciences syllabus</x:v>
      </x:c>
      <x:c r="N113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13" s="21" t="str">
        <x:v>Normalized gap: confirm exact placement against the adopting board/university's latest detailed syllabus.</x:v>
      </x:c>
    </x:row>
    <x:row r="114">
      <x:c r="A114" s="22" t="n">
        <x:v>190</x:v>
      </x:c>
      <x:c r="B114" s="21" t="str">
        <x:v>Postgraduate</x:v>
      </x:c>
      <x:c r="C114" s="21" t="str">
        <x:v>MSc/MS</x:v>
      </x:c>
      <x:c r="D114" s="21" t="str">
        <x:v>Common MSc physics core and advanced electives; representative Indian universities</x:v>
      </x:c>
      <x:c r="E114" s="21" t="str">
        <x:v>Mathematical Physics</x:v>
      </x:c>
      <x:c r="F114" s="21" t="str">
        <x:v>Symmetry methods</x:v>
      </x:c>
      <x:c r="G114" s="21" t="str">
        <x:v>Group Theory and Symmetry in Physics</x:v>
      </x:c>
      <x:c r="H114" s="21" t="str">
        <x:v>groups; representations; Lie algebras; selection rules</x:v>
      </x:c>
      <x:c r="I114" s="21" t="str">
        <x:v>Symmetry-operation visualizer</x:v>
      </x:c>
      <x:c r="J114" s="21" t="str">
        <x:v>Missing</x:v>
      </x:c>
      <x:c r="K114" s="21" t="str">
        <x:v>None</x:v>
      </x:c>
      <x:c r="L114" s="21" t="str">
        <x:v>High</x:v>
      </x:c>
      <x:c r="M114" s="21" t="str">
        <x:v>University of Delhi — Physics and Astrophysics syllabi • IISc BS Physics course structure • CSIR-UGC NET Physical Sciences syllabus</x:v>
      </x:c>
      <x:c r="N114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14" s="21" t="str">
        <x:v>Normalized gap: confirm exact placement against the adopting board/university's latest detailed syllabus.</x:v>
      </x:c>
    </x:row>
    <x:row r="115">
      <x:c r="A115" s="22" t="n">
        <x:v>191</x:v>
      </x:c>
      <x:c r="B115" s="21" t="str">
        <x:v>Postgraduate</x:v>
      </x:c>
      <x:c r="C115" s="21" t="str">
        <x:v>MSc/MS</x:v>
      </x:c>
      <x:c r="D115" s="21" t="str">
        <x:v>Common MSc physics core and advanced electives; representative Indian universities</x:v>
      </x:c>
      <x:c r="E115" s="21" t="str">
        <x:v>Mechanics</x:v>
      </x:c>
      <x:c r="F115" s="21" t="str">
        <x:v>Advanced mechanics</x:v>
      </x:c>
      <x:c r="G115" s="21" t="str">
        <x:v>Advanced Classical Mechanics and Canonical Transformations</x:v>
      </x:c>
      <x:c r="H115" s="21" t="str">
        <x:v>Poisson brackets; action-angle; Hamilton-Jacobi</x:v>
      </x:c>
      <x:c r="I115" s="21" t="str">
        <x:v>Canonical transformation phase-space lab</x:v>
      </x:c>
      <x:c r="J115" s="21" t="str">
        <x:v>Partial</x:v>
      </x:c>
      <x:c r="K115" s="21" t="str">
        <x:v>64: Chaotic and Coupled Oscillators</x:v>
      </x:c>
      <x:c r="L115" s="21" t="str">
        <x:v>High</x:v>
      </x:c>
      <x:c r="M115" s="21" t="str">
        <x:v>University of Delhi — Physics and Astrophysics syllabi • IISc BS Physics course structure • CSIR-UGC NET Physical Sciences syllabus</x:v>
      </x:c>
      <x:c r="N115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15" s="21" t="str">
        <x:v>Normalized gap: confirm exact placement against the adopting board/university's latest detailed syllabus.</x:v>
      </x:c>
    </x:row>
    <x:row r="116">
      <x:c r="A116" s="22" t="n">
        <x:v>192</x:v>
      </x:c>
      <x:c r="B116" s="21" t="str">
        <x:v>Postgraduate</x:v>
      </x:c>
      <x:c r="C116" s="21" t="str">
        <x:v>MSc/MS</x:v>
      </x:c>
      <x:c r="D116" s="21" t="str">
        <x:v>Common MSc physics core and advanced electives; representative Indian universities</x:v>
      </x:c>
      <x:c r="E116" s="21" t="str">
        <x:v>Mechanics</x:v>
      </x:c>
      <x:c r="F116" s="21" t="str">
        <x:v>Dynamical systems</x:v>
      </x:c>
      <x:c r="G116" s="21" t="str">
        <x:v>Nonlinear Dynamics, Bifurcations and Chaos</x:v>
      </x:c>
      <x:c r="H116" s="21" t="str">
        <x:v>maps; bifurcations; Lyapunov exponent; strange attractors</x:v>
      </x:c>
      <x:c r="I116" s="21" t="str">
        <x:v>Logistic-map and Lorenz-system lab</x:v>
      </x:c>
      <x:c r="J116" s="21" t="str">
        <x:v>Partial</x:v>
      </x:c>
      <x:c r="K116" s="21" t="str">
        <x:v>64: Chaotic and Coupled Oscillators</x:v>
      </x:c>
      <x:c r="L116" s="21" t="str">
        <x:v>High</x:v>
      </x:c>
      <x:c r="M116" s="21" t="str">
        <x:v>University of Delhi — Physics and Astrophysics syllabi • IISc BS Physics course structure • CSIR-UGC NET Physical Sciences syllabus</x:v>
      </x:c>
      <x:c r="N116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16" s="21" t="str">
        <x:v>Normalized gap: confirm exact placement against the adopting board/university's latest detailed syllabus.</x:v>
      </x:c>
    </x:row>
    <x:row r="117">
      <x:c r="A117" s="22" t="n">
        <x:v>193</x:v>
      </x:c>
      <x:c r="B117" s="21" t="str">
        <x:v>Postgraduate</x:v>
      </x:c>
      <x:c r="C117" s="21" t="str">
        <x:v>MSc/MS</x:v>
      </x:c>
      <x:c r="D117" s="21" t="str">
        <x:v>Common MSc physics core and advanced electives; representative Indian universities</x:v>
      </x:c>
      <x:c r="E117" s="21" t="str">
        <x:v>Modern Physics</x:v>
      </x:c>
      <x:c r="F117" s="21" t="str">
        <x:v>Quantum mechanics</x:v>
      </x:c>
      <x:c r="G117" s="21" t="str">
        <x:v>Advanced Quantum Scattering Theory</x:v>
      </x:c>
      <x:c r="H117" s="21" t="str">
        <x:v>partial waves; Born approximation; S-matrix</x:v>
      </x:c>
      <x:c r="I117" s="21" t="str">
        <x:v>Quantum scattering cross-section lab</x:v>
      </x:c>
      <x:c r="J117" s="21" t="str">
        <x:v>Partial</x:v>
      </x:c>
      <x:c r="K117" s="21" t="str">
        <x:v>48: Advanced Quantum Operators</x:v>
      </x:c>
      <x:c r="L117" s="21" t="str">
        <x:v>Critical</x:v>
      </x:c>
      <x:c r="M117" s="21" t="str">
        <x:v>University of Delhi — Physics and Astrophysics syllabi • IISc BS Physics course structure • CSIR-UGC NET Physical Sciences syllabus</x:v>
      </x:c>
      <x:c r="N117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17" s="21" t="str">
        <x:v>Normalized gap: confirm exact placement against the adopting board/university's latest detailed syllabus.</x:v>
      </x:c>
    </x:row>
    <x:row r="118">
      <x:c r="A118" s="22" t="n">
        <x:v>194</x:v>
      </x:c>
      <x:c r="B118" s="21" t="str">
        <x:v>Postgraduate</x:v>
      </x:c>
      <x:c r="C118" s="21" t="str">
        <x:v>MSc/MS</x:v>
      </x:c>
      <x:c r="D118" s="21" t="str">
        <x:v>Common MSc physics core and advanced electives; representative Indian universities</x:v>
      </x:c>
      <x:c r="E118" s="21" t="str">
        <x:v>Modern Physics</x:v>
      </x:c>
      <x:c r="F118" s="21" t="str">
        <x:v>Quantum mechanics</x:v>
      </x:c>
      <x:c r="G118" s="21" t="str">
        <x:v>Relativistic Quantum Mechanics</x:v>
      </x:c>
      <x:c r="H118" s="21" t="str">
        <x:v>Klein-Gordon; Dirac equation; spinors; antiparticles</x:v>
      </x:c>
      <x:c r="I118" s="21" t="str">
        <x:v>Relativistic dispersion and spinor lab</x:v>
      </x:c>
      <x:c r="J118" s="21" t="str">
        <x:v>Partial</x:v>
      </x:c>
      <x:c r="K118" s="21" t="str">
        <x:v>53: Special Relativity Bridge</x:v>
      </x:c>
      <x:c r="L118" s="21" t="str">
        <x:v>Critical</x:v>
      </x:c>
      <x:c r="M118" s="21" t="str">
        <x:v>University of Delhi — Physics and Astrophysics syllabi • IISc BS Physics course structure • CSIR-UGC NET Physical Sciences syllabus</x:v>
      </x:c>
      <x:c r="N118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18" s="21" t="str">
        <x:v>Normalized gap: confirm exact placement against the adopting board/university's latest detailed syllabus.</x:v>
      </x:c>
    </x:row>
    <x:row r="119">
      <x:c r="A119" s="22" t="n">
        <x:v>195</x:v>
      </x:c>
      <x:c r="B119" s="21" t="str">
        <x:v>Postgraduate</x:v>
      </x:c>
      <x:c r="C119" s="21" t="str">
        <x:v>MSc/MS</x:v>
      </x:c>
      <x:c r="D119" s="21" t="str">
        <x:v>Common MSc physics core and advanced electives; representative Indian universities</x:v>
      </x:c>
      <x:c r="E119" s="21" t="str">
        <x:v>Modern Physics</x:v>
      </x:c>
      <x:c r="F119" s="21" t="str">
        <x:v>Field theory</x:v>
      </x:c>
      <x:c r="G119" s="21" t="str">
        <x:v>Quantum Field Theory Foundations</x:v>
      </x:c>
      <x:c r="H119" s="21" t="str">
        <x:v>field quantization; diagrams; gauge symmetry</x:v>
      </x:c>
      <x:c r="I119" s="21" t="str">
        <x:v>Scalar-field lattice visualization</x:v>
      </x:c>
      <x:c r="J119" s="21" t="str">
        <x:v>Missing</x:v>
      </x:c>
      <x:c r="K119" s="21" t="str">
        <x:v>None</x:v>
      </x:c>
      <x:c r="L119" s="21" t="str">
        <x:v>High</x:v>
      </x:c>
      <x:c r="M119" s="21" t="str">
        <x:v>University of Delhi — Physics and Astrophysics syllabi • IISc BS Physics course structure • CSIR-UGC NET Physical Sciences syllabus</x:v>
      </x:c>
      <x:c r="N119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19" s="21" t="str">
        <x:v>Normalized gap: confirm exact placement against the adopting board/university's latest detailed syllabus.</x:v>
      </x:c>
    </x:row>
    <x:row r="120">
      <x:c r="A120" s="22" t="n">
        <x:v>196</x:v>
      </x:c>
      <x:c r="B120" s="21" t="str">
        <x:v>Postgraduate</x:v>
      </x:c>
      <x:c r="C120" s="21" t="str">
        <x:v>MSc/MS</x:v>
      </x:c>
      <x:c r="D120" s="21" t="str">
        <x:v>Common MSc physics core and advanced electives; representative Indian universities</x:v>
      </x:c>
      <x:c r="E120" s="21" t="str">
        <x:v>Condensed Matter</x:v>
      </x:c>
      <x:c r="F120" s="21" t="str">
        <x:v>Many-body physics</x:v>
      </x:c>
      <x:c r="G120" s="21" t="str">
        <x:v>Many-Body Quantum Physics</x:v>
      </x:c>
      <x:c r="H120" s="21" t="str">
        <x:v>second quantization; quasiparticles; correlations</x:v>
      </x:c>
      <x:c r="I120" s="21" t="str">
        <x:v>Few-site Hubbard model lab</x:v>
      </x:c>
      <x:c r="J120" s="21" t="str">
        <x:v>Missing</x:v>
      </x:c>
      <x:c r="K120" s="21" t="str">
        <x:v>None</x:v>
      </x:c>
      <x:c r="L120" s="21" t="str">
        <x:v>High</x:v>
      </x:c>
      <x:c r="M120" s="21" t="str">
        <x:v>University of Delhi — Physics and Astrophysics syllabi • IISc BS Physics course structure • CSIR-UGC NET Physical Sciences syllabus</x:v>
      </x:c>
      <x:c r="N120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20" s="21" t="str">
        <x:v>Normalized gap: confirm exact placement against the adopting board/university's latest detailed syllabus.</x:v>
      </x:c>
    </x:row>
    <x:row r="121">
      <x:c r="A121" s="22" t="n">
        <x:v>197</x:v>
      </x:c>
      <x:c r="B121" s="21" t="str">
        <x:v>Postgraduate</x:v>
      </x:c>
      <x:c r="C121" s="21" t="str">
        <x:v>MSc/MS</x:v>
      </x:c>
      <x:c r="D121" s="21" t="str">
        <x:v>Common MSc physics core and advanced electives; representative Indian universities</x:v>
      </x:c>
      <x:c r="E121" s="21" t="str">
        <x:v>Condensed Matter</x:v>
      </x:c>
      <x:c r="F121" s="21" t="str">
        <x:v>Condensed matter</x:v>
      </x:c>
      <x:c r="G121" s="21" t="str">
        <x:v>Advanced Condensed Matter and Band Topology</x:v>
      </x:c>
      <x:c r="H121" s="21" t="str">
        <x:v>Bloch theory; Fermi surfaces; Berry phase; topology</x:v>
      </x:c>
      <x:c r="I121" s="21" t="str">
        <x:v>Topological band-structure explorer</x:v>
      </x:c>
      <x:c r="J121" s="21" t="str">
        <x:v>Missing</x:v>
      </x:c>
      <x:c r="K121" s="21" t="str">
        <x:v>None</x:v>
      </x:c>
      <x:c r="L121" s="21" t="str">
        <x:v>High</x:v>
      </x:c>
      <x:c r="M121" s="21" t="str">
        <x:v>University of Delhi — Physics and Astrophysics syllabi • IISc BS Physics course structure • CSIR-UGC NET Physical Sciences syllabus</x:v>
      </x:c>
      <x:c r="N121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21" s="21" t="str">
        <x:v>Normalized gap: confirm exact placement against the adopting board/university's latest detailed syllabus.</x:v>
      </x:c>
    </x:row>
    <x:row r="122">
      <x:c r="A122" s="22" t="n">
        <x:v>198</x:v>
      </x:c>
      <x:c r="B122" s="21" t="str">
        <x:v>Postgraduate</x:v>
      </x:c>
      <x:c r="C122" s="21" t="str">
        <x:v>MSc/MS</x:v>
      </x:c>
      <x:c r="D122" s="21" t="str">
        <x:v>Common MSc physics core and advanced electives; representative Indian universities</x:v>
      </x:c>
      <x:c r="E122" s="21" t="str">
        <x:v>Condensed Matter</x:v>
      </x:c>
      <x:c r="F122" s="21" t="str">
        <x:v>Quantum matter</x:v>
      </x:c>
      <x:c r="G122" s="21" t="str">
        <x:v>Superconductivity and Superfluidity</x:v>
      </x:c>
      <x:c r="H122" s="21" t="str">
        <x:v>BCS ideas; vortices; Josephson effects; superfluid flow</x:v>
      </x:c>
      <x:c r="I122" s="21" t="str">
        <x:v>Josephson junction simulator</x:v>
      </x:c>
      <x:c r="J122" s="21" t="str">
        <x:v>Missing</x:v>
      </x:c>
      <x:c r="K122" s="21" t="str">
        <x:v>None</x:v>
      </x:c>
      <x:c r="L122" s="21" t="str">
        <x:v>High</x:v>
      </x:c>
      <x:c r="M122" s="21" t="str">
        <x:v>University of Delhi — Physics and Astrophysics syllabi • IISc BS Physics course structure • CSIR-UGC NET Physical Sciences syllabus</x:v>
      </x:c>
      <x:c r="N122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22" s="21" t="str">
        <x:v>Normalized gap: confirm exact placement against the adopting board/university's latest detailed syllabus.</x:v>
      </x:c>
    </x:row>
    <x:row r="123">
      <x:c r="A123" s="22" t="n">
        <x:v>199</x:v>
      </x:c>
      <x:c r="B123" s="21" t="str">
        <x:v>Postgraduate</x:v>
      </x:c>
      <x:c r="C123" s="21" t="str">
        <x:v>MSc/MS</x:v>
      </x:c>
      <x:c r="D123" s="21" t="str">
        <x:v>Common MSc physics core and advanced electives; representative Indian universities</x:v>
      </x:c>
      <x:c r="E123" s="21" t="str">
        <x:v>Plasma Physics</x:v>
      </x:c>
      <x:c r="F123" s="21" t="str">
        <x:v>Plasma</x:v>
      </x:c>
      <x:c r="G123" s="21" t="str">
        <x:v>Plasma Physics and Magnetohydrodynamics</x:v>
      </x:c>
      <x:c r="H123" s="21" t="str">
        <x:v>Debye shielding; waves; instabilities; MHD</x:v>
      </x:c>
      <x:c r="I123" s="21" t="str">
        <x:v>Particle-in-cell plasma lab</x:v>
      </x:c>
      <x:c r="J123" s="21" t="str">
        <x:v>Partial</x:v>
      </x:c>
      <x:c r="K123" s="21" t="str">
        <x:v>27: Lorentz Force on Moving Charge</x:v>
      </x:c>
      <x:c r="L123" s="21" t="str">
        <x:v>High</x:v>
      </x:c>
      <x:c r="M123" s="21" t="str">
        <x:v>University of Delhi — Physics and Astrophysics syllabi • IISc BS Physics course structure • CSIR-UGC NET Physical Sciences syllabus</x:v>
      </x:c>
      <x:c r="N123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23" s="21" t="str">
        <x:v>Normalized gap: confirm exact placement against the adopting board/university's latest detailed syllabus.</x:v>
      </x:c>
    </x:row>
    <x:row r="124">
      <x:c r="A124" s="22" t="n">
        <x:v>200</x:v>
      </x:c>
      <x:c r="B124" s="21" t="str">
        <x:v>Postgraduate</x:v>
      </x:c>
      <x:c r="C124" s="21" t="str">
        <x:v>MSc/MS</x:v>
      </x:c>
      <x:c r="D124" s="21" t="str">
        <x:v>Common MSc physics core and advanced electives; representative Indian universities</x:v>
      </x:c>
      <x:c r="E124" s="21" t="str">
        <x:v>Relativity</x:v>
      </x:c>
      <x:c r="F124" s="21" t="str">
        <x:v>Gravitation</x:v>
      </x:c>
      <x:c r="G124" s="21" t="str">
        <x:v>General Relativity and Curved Spacetime</x:v>
      </x:c>
      <x:c r="H124" s="21" t="str">
        <x:v>metric; geodesics; Einstein equations; black holes</x:v>
      </x:c>
      <x:c r="I124" s="21" t="str">
        <x:v>Geodesic and gravitational-lensing lab</x:v>
      </x:c>
      <x:c r="J124" s="21" t="str">
        <x:v>Partial</x:v>
      </x:c>
      <x:c r="K124" s="21" t="str">
        <x:v>2: Universal Gravitation Field Map</x:v>
      </x:c>
      <x:c r="L124" s="21" t="str">
        <x:v>High</x:v>
      </x:c>
      <x:c r="M124" s="21" t="str">
        <x:v>University of Delhi — Physics and Astrophysics syllabi • IISc BS Physics course structure • CSIR-UGC NET Physical Sciences syllabus</x:v>
      </x:c>
      <x:c r="N124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24" s="21" t="str">
        <x:v>Normalized gap: confirm exact placement against the adopting board/university's latest detailed syllabus.</x:v>
      </x:c>
    </x:row>
    <x:row r="125">
      <x:c r="A125" s="22" t="n">
        <x:v>201</x:v>
      </x:c>
      <x:c r="B125" s="21" t="str">
        <x:v>Postgraduate</x:v>
      </x:c>
      <x:c r="C125" s="21" t="str">
        <x:v>MSc/MS</x:v>
      </x:c>
      <x:c r="D125" s="21" t="str">
        <x:v>Common MSc physics core and advanced electives; representative Indian universities</x:v>
      </x:c>
      <x:c r="E125" s="21" t="str">
        <x:v>Astronomy</x:v>
      </x:c>
      <x:c r="F125" s="21" t="str">
        <x:v>Astrophysics</x:v>
      </x:c>
      <x:c r="G125" s="21" t="str">
        <x:v>Astrophysics: Stars, Galaxies and Cosmology</x:v>
      </x:c>
      <x:c r="H125" s="21" t="str">
        <x:v>stellar structure; spectra; galaxies; expansion</x:v>
      </x:c>
      <x:c r="I125" s="21" t="str">
        <x:v>HR diagram and cosmology parameter lab</x:v>
      </x:c>
      <x:c r="J125" s="21" t="str">
        <x:v>Partial</x:v>
      </x:c>
      <x:c r="K125" s="21" t="str">
        <x:v>49: Bohr Atom Transitions</x:v>
      </x:c>
      <x:c r="L125" s="21" t="str">
        <x:v>High</x:v>
      </x:c>
      <x:c r="M125" s="21" t="str">
        <x:v>University of Delhi — Physics and Astrophysics syllabi • IISc BS Physics course structure • CSIR-UGC NET Physical Sciences syllabus</x:v>
      </x:c>
      <x:c r="N125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25" s="21" t="str">
        <x:v>Normalized gap: confirm exact placement against the adopting board/university's latest detailed syllabus.</x:v>
      </x:c>
    </x:row>
    <x:row r="126">
      <x:c r="A126" s="22" t="n">
        <x:v>202</x:v>
      </x:c>
      <x:c r="B126" s="21" t="str">
        <x:v>Postgraduate</x:v>
      </x:c>
      <x:c r="C126" s="21" t="str">
        <x:v>MSc/MS</x:v>
      </x:c>
      <x:c r="D126" s="21" t="str">
        <x:v>Common MSc physics core and advanced electives; representative Indian universities</x:v>
      </x:c>
      <x:c r="E126" s="21" t="str">
        <x:v>Modern Physics</x:v>
      </x:c>
      <x:c r="F126" s="21" t="str">
        <x:v>High-energy physics</x:v>
      </x:c>
      <x:c r="G126" s="21" t="str">
        <x:v>Particle Physics and the Standard Model</x:v>
      </x:c>
      <x:c r="H126" s="21" t="str">
        <x:v>quarks/leptons; interactions; symmetries; detectors</x:v>
      </x:c>
      <x:c r="I126" s="21" t="str">
        <x:v>Event-display particle-identification lab</x:v>
      </x:c>
      <x:c r="J126" s="21" t="str">
        <x:v>Partial</x:v>
      </x:c>
      <x:c r="K126" s="21" t="str">
        <x:v>51: Nuclear Decay and Half-Life</x:v>
      </x:c>
      <x:c r="L126" s="21" t="str">
        <x:v>High</x:v>
      </x:c>
      <x:c r="M126" s="21" t="str">
        <x:v>University of Delhi — Physics and Astrophysics syllabi • IISc BS Physics course structure • CSIR-UGC NET Physical Sciences syllabus</x:v>
      </x:c>
      <x:c r="N126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26" s="21" t="str">
        <x:v>Normalized gap: confirm exact placement against the adopting board/university's latest detailed syllabus.</x:v>
      </x:c>
    </x:row>
    <x:row r="127">
      <x:c r="A127" s="22" t="n">
        <x:v>203</x:v>
      </x:c>
      <x:c r="B127" s="21" t="str">
        <x:v>Postgraduate</x:v>
      </x:c>
      <x:c r="C127" s="21" t="str">
        <x:v>MSc/MS</x:v>
      </x:c>
      <x:c r="D127" s="21" t="str">
        <x:v>Common MSc physics core and advanced electives; representative Indian universities</x:v>
      </x:c>
      <x:c r="E127" s="21" t="str">
        <x:v>Modern Physics</x:v>
      </x:c>
      <x:c r="F127" s="21" t="str">
        <x:v>Nuclear physics</x:v>
      </x:c>
      <x:c r="G127" s="21" t="str">
        <x:v>Advanced Nuclear Structure and Reactions</x:v>
      </x:c>
      <x:c r="H127" s="21" t="str">
        <x:v>collective models; reaction mechanisms; accelerators</x:v>
      </x:c>
      <x:c r="I127" s="21" t="str">
        <x:v>Nuclear level-scheme and reaction lab</x:v>
      </x:c>
      <x:c r="J127" s="21" t="str">
        <x:v>Partial</x:v>
      </x:c>
      <x:c r="K127" s="21" t="str">
        <x:v>51: Nuclear Decay and Half-Life</x:v>
      </x:c>
      <x:c r="L127" s="21" t="str">
        <x:v>High</x:v>
      </x:c>
      <x:c r="M127" s="21" t="str">
        <x:v>University of Delhi — Physics and Astrophysics syllabi • IISc BS Physics course structure • CSIR-UGC NET Physical Sciences syllabus</x:v>
      </x:c>
      <x:c r="N127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27" s="21" t="str">
        <x:v>Normalized gap: confirm exact placement against the adopting board/university's latest detailed syllabus.</x:v>
      </x:c>
    </x:row>
    <x:row r="128">
      <x:c r="A128" s="22" t="n">
        <x:v>204</x:v>
      </x:c>
      <x:c r="B128" s="21" t="str">
        <x:v>Postgraduate</x:v>
      </x:c>
      <x:c r="C128" s="21" t="str">
        <x:v>MSc/MS</x:v>
      </x:c>
      <x:c r="D128" s="21" t="str">
        <x:v>Common MSc physics core and advanced electives; representative Indian universities</x:v>
      </x:c>
      <x:c r="E128" s="21" t="str">
        <x:v>Thermodynamics</x:v>
      </x:c>
      <x:c r="F128" s="21" t="str">
        <x:v>Statistical mechanics</x:v>
      </x:c>
      <x:c r="G128" s="21" t="str">
        <x:v>Advanced Statistical Mechanics and Nonequilibrium Systems</x:v>
      </x:c>
      <x:c r="H128" s="21" t="str">
        <x:v>fluctuations; transport; kinetic equations; nonequilibrium</x:v>
      </x:c>
      <x:c r="I128" s="21" t="str">
        <x:v>Random walk and transport lab</x:v>
      </x:c>
      <x:c r="J128" s="21" t="str">
        <x:v>Partial</x:v>
      </x:c>
      <x:c r="K128" s="21" t="str">
        <x:v>69: Statistical Ensemble Lab</x:v>
      </x:c>
      <x:c r="L128" s="21" t="str">
        <x:v>High</x:v>
      </x:c>
      <x:c r="M128" s="21" t="str">
        <x:v>University of Delhi — Physics and Astrophysics syllabi • IISc BS Physics course structure • CSIR-UGC NET Physical Sciences syllabus</x:v>
      </x:c>
      <x:c r="N128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28" s="21" t="str">
        <x:v>Normalized gap: confirm exact placement against the adopting board/university's latest detailed syllabus.</x:v>
      </x:c>
    </x:row>
    <x:row r="129">
      <x:c r="A129" s="22" t="n">
        <x:v>205</x:v>
      </x:c>
      <x:c r="B129" s="21" t="str">
        <x:v>Postgraduate</x:v>
      </x:c>
      <x:c r="C129" s="21" t="str">
        <x:v>MSc/MS</x:v>
      </x:c>
      <x:c r="D129" s="21" t="str">
        <x:v>Common MSc physics core and advanced electives; representative Indian universities</x:v>
      </x:c>
      <x:c r="E129" s="21" t="str">
        <x:v>Optics</x:v>
      </x:c>
      <x:c r="F129" s="21" t="str">
        <x:v>Advanced optics</x:v>
      </x:c>
      <x:c r="G129" s="21" t="str">
        <x:v>Advanced Optics, Nonlinear Optics and Quantum Optics</x:v>
      </x:c>
      <x:c r="H129" s="21" t="str">
        <x:v>nonlinear susceptibility; photon statistics; entanglement</x:v>
      </x:c>
      <x:c r="I129" s="21" t="str">
        <x:v>Interferometric quantum optics lab</x:v>
      </x:c>
      <x:c r="J129" s="21" t="str">
        <x:v>Partial</x:v>
      </x:c>
      <x:c r="K129" s="21" t="str">
        <x:v>75: Polarization Lab</x:v>
      </x:c>
      <x:c r="L129" s="21" t="str">
        <x:v>High</x:v>
      </x:c>
      <x:c r="M129" s="21" t="str">
        <x:v>University of Delhi — Physics and Astrophysics syllabi • IISc BS Physics course structure • CSIR-UGC NET Physical Sciences syllabus</x:v>
      </x:c>
      <x:c r="N129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29" s="21" t="str">
        <x:v>Normalized gap: confirm exact placement against the adopting board/university's latest detailed syllabus.</x:v>
      </x:c>
    </x:row>
    <x:row r="130">
      <x:c r="A130" s="22" t="n">
        <x:v>206</x:v>
      </x:c>
      <x:c r="B130" s="21" t="str">
        <x:v>Postgraduate</x:v>
      </x:c>
      <x:c r="C130" s="21" t="str">
        <x:v>MSc/MS</x:v>
      </x:c>
      <x:c r="D130" s="21" t="str">
        <x:v>Common MSc physics core and advanced electives; representative Indian universities</x:v>
      </x:c>
      <x:c r="E130" s="21" t="str">
        <x:v>Condensed Matter</x:v>
      </x:c>
      <x:c r="F130" s="21" t="str">
        <x:v>Experimental methods</x:v>
      </x:c>
      <x:c r="G130" s="21" t="str">
        <x:v>Materials Characterization Techniques</x:v>
      </x:c>
      <x:c r="H130" s="21" t="str">
        <x:v>XRD; SEM/TEM; Raman; transport; magnetometry</x:v>
      </x:c>
      <x:c r="I130" s="21" t="str">
        <x:v>Multi-technique characterization workflow</x:v>
      </x:c>
      <x:c r="J130" s="21" t="str">
        <x:v>Missing</x:v>
      </x:c>
      <x:c r="K130" s="21" t="str">
        <x:v>None</x:v>
      </x:c>
      <x:c r="L130" s="21" t="str">
        <x:v>Critical</x:v>
      </x:c>
      <x:c r="M130" s="21" t="str">
        <x:v>University of Delhi — Physics and Astrophysics syllabi • IISc BS Physics course structure • CSIR-UGC NET Physical Sciences syllabus</x:v>
      </x:c>
      <x:c r="N130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30" s="21" t="str">
        <x:v>Normalized gap: confirm exact placement against the adopting board/university's latest detailed syllabus.</x:v>
      </x:c>
    </x:row>
    <x:row r="131">
      <x:c r="A131" s="22" t="n">
        <x:v>207</x:v>
      </x:c>
      <x:c r="B131" s="21" t="str">
        <x:v>Postgraduate</x:v>
      </x:c>
      <x:c r="C131" s="21" t="str">
        <x:v>MSc/MS</x:v>
      </x:c>
      <x:c r="D131" s="21" t="str">
        <x:v>Common MSc physics core and advanced electives; representative Indian universities</x:v>
      </x:c>
      <x:c r="E131" s="21" t="str">
        <x:v>Modern Physics</x:v>
      </x:c>
      <x:c r="F131" s="21" t="str">
        <x:v>Experimental nuclear physics</x:v>
      </x:c>
      <x:c r="G131" s="21" t="str">
        <x:v>Radiation Detection, Dosimetry and Safety</x:v>
      </x:c>
      <x:c r="H131" s="21" t="str">
        <x:v>detectors; counting statistics; shielding; dose</x:v>
      </x:c>
      <x:c r="I131" s="21" t="str">
        <x:v>Detector calibration and shielding lab</x:v>
      </x:c>
      <x:c r="J131" s="21" t="str">
        <x:v>Partial</x:v>
      </x:c>
      <x:c r="K131" s="21" t="str">
        <x:v>51: Nuclear Decay and Half-Life</x:v>
      </x:c>
      <x:c r="L131" s="21" t="str">
        <x:v>Critical</x:v>
      </x:c>
      <x:c r="M131" s="21" t="str">
        <x:v>University of Delhi — Physics and Astrophysics syllabi • IISc BS Physics course structure • CSIR-UGC NET Physical Sciences syllabus</x:v>
      </x:c>
      <x:c r="N131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31" s="21" t="str">
        <x:v>Normalized gap: confirm exact placement against the adopting board/university's latest detailed syllabus.</x:v>
      </x:c>
    </x:row>
    <x:row r="132">
      <x:c r="A132" s="22" t="n">
        <x:v>208</x:v>
      </x:c>
      <x:c r="B132" s="21" t="str">
        <x:v>Postgraduate</x:v>
      </x:c>
      <x:c r="C132" s="21" t="str">
        <x:v>MSc/MS</x:v>
      </x:c>
      <x:c r="D132" s="21" t="str">
        <x:v>Common MSc physics core and advanced electives; representative Indian universities</x:v>
      </x:c>
      <x:c r="E132" s="21" t="str">
        <x:v>Computational Physics</x:v>
      </x:c>
      <x:c r="F132" s="21" t="str">
        <x:v>Scientific computing</x:v>
      </x:c>
      <x:c r="G132" s="21" t="str">
        <x:v>Advanced Computational Physics and Molecular Dynamics</x:v>
      </x:c>
      <x:c r="H132" s="21" t="str">
        <x:v>PDE solvers; molecular dynamics; parallel computation</x:v>
      </x:c>
      <x:c r="I132" s="21" t="str">
        <x:v>Molecular dynamics and convergence lab</x:v>
      </x:c>
      <x:c r="J132" s="21" t="str">
        <x:v>Partial</x:v>
      </x:c>
      <x:c r="K132" s="21" t="str">
        <x:v>29: Computational Physics Workflow</x:v>
      </x:c>
      <x:c r="L132" s="21" t="str">
        <x:v>Critical</x:v>
      </x:c>
      <x:c r="M132" s="21" t="str">
        <x:v>University of Delhi — Physics and Astrophysics syllabi • IISc BS Physics course structure • CSIR-UGC NET Physical Sciences syllabus</x:v>
      </x:c>
      <x:c r="N132" s="21" t="str">
        <x:v>https://academicaffairs.du.ac.in/syllabi/department-of-physics-and-astrophysics/ • https://bs-ug.iisc.ac.in/course-structure/physics?from=home • https://www.csirhrdg.res.in/SiteContent/ManagedContent/ContentFiles/20181113115324688mcs_ph_sylbs.pdf</x:v>
      </x:c>
      <x:c r="O132" s="21" t="str">
        <x:v>Normalized gap: confirm exact placement against the adopting board/university's latest detailed syllabus.</x:v>
      </x:c>
    </x:row>
    <x:row r="133">
      <x:c r="A133" s="22" t="n">
        <x:v>209</x:v>
      </x:c>
      <x:c r="B133" s="21" t="str">
        <x:v>Doctoral / Research</x:v>
      </x:c>
      <x:c r="C133" s="21" t="str">
        <x:v>PhD and research training</x:v>
      </x:c>
      <x:c r="D133" s="21" t="str">
        <x:v>Cross-university research preparation; specialization-dependent</x:v>
      </x:c>
      <x:c r="E133" s="21" t="str">
        <x:v>Research Methods</x:v>
      </x:c>
      <x:c r="F133" s="21" t="str">
        <x:v>Research practice</x:v>
      </x:c>
      <x:c r="G133" s="21" t="str">
        <x:v>Research Design and Reproducible Physics Workflows</x:v>
      </x:c>
      <x:c r="H133" s="21" t="str">
        <x:v>questions; controls; provenance; reproducibility; preregistration</x:v>
      </x:c>
      <x:c r="I133" s="21" t="str">
        <x:v>Reproduce a published analysis pipeline</x:v>
      </x:c>
      <x:c r="J133" s="21" t="str">
        <x:v>Partial</x:v>
      </x:c>
      <x:c r="K133" s="21" t="str">
        <x:v>29: Computational Physics Workflow</x:v>
      </x:c>
      <x:c r="L133" s="21" t="str">
        <x:v>Critical</x:v>
      </x:c>
      <x:c r="M133" s="21" t="str">
        <x:v>UGC Curriculum and Credit Framework for Undergraduate Programmes • IISc BS Physics course structure • CSIR-UGC NET Physical Sciences syllabus</x:v>
      </x:c>
      <x:c r="N133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33" s="21" t="str">
        <x:v>Normalized gap: confirm exact placement against the adopting board/university's latest detailed syllabus.</x:v>
      </x:c>
    </x:row>
    <x:row r="134">
      <x:c r="A134" s="22" t="n">
        <x:v>210</x:v>
      </x:c>
      <x:c r="B134" s="21" t="str">
        <x:v>Doctoral / Research</x:v>
      </x:c>
      <x:c r="C134" s="21" t="str">
        <x:v>PhD and research training</x:v>
      </x:c>
      <x:c r="D134" s="21" t="str">
        <x:v>Cross-university research preparation; specialization-dependent</x:v>
      </x:c>
      <x:c r="E134" s="21" t="str">
        <x:v>Research Methods</x:v>
      </x:c>
      <x:c r="F134" s="21" t="str">
        <x:v>Data analysis</x:v>
      </x:c>
      <x:c r="G134" s="21" t="str">
        <x:v>Advanced Uncertainty, Bayesian Inference and Model Selection</x:v>
      </x:c>
      <x:c r="H134" s="21" t="str">
        <x:v>likelihoods; priors; posterior; evidence; systematics</x:v>
      </x:c>
      <x:c r="I134" s="21" t="str">
        <x:v>Bayesian parameter-estimation lab</x:v>
      </x:c>
      <x:c r="J134" s="21" t="str">
        <x:v>Partial</x:v>
      </x:c>
      <x:c r="K134" s="21" t="str">
        <x:v>30: Measurement, Error, and Significant Figures</x:v>
      </x:c>
      <x:c r="L134" s="21" t="str">
        <x:v>Critical</x:v>
      </x:c>
      <x:c r="M134" s="21" t="str">
        <x:v>UGC Curriculum and Credit Framework for Undergraduate Programmes • IISc BS Physics course structure • CSIR-UGC NET Physical Sciences syllabus</x:v>
      </x:c>
      <x:c r="N134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34" s="21" t="str">
        <x:v>Normalized gap: confirm exact placement against the adopting board/university's latest detailed syllabus.</x:v>
      </x:c>
    </x:row>
    <x:row r="135">
      <x:c r="A135" s="22" t="n">
        <x:v>211</x:v>
      </x:c>
      <x:c r="B135" s="21" t="str">
        <x:v>Doctoral / Research</x:v>
      </x:c>
      <x:c r="C135" s="21" t="str">
        <x:v>PhD and research training</x:v>
      </x:c>
      <x:c r="D135" s="21" t="str">
        <x:v>Cross-university research preparation; specialization-dependent</x:v>
      </x:c>
      <x:c r="E135" s="21" t="str">
        <x:v>Computational Physics</x:v>
      </x:c>
      <x:c r="F135" s="21" t="str">
        <x:v>Research software</x:v>
      </x:c>
      <x:c r="G135" s="21" t="str">
        <x:v>Scientific Programming, Version Control and Testing</x:v>
      </x:c>
      <x:c r="H135" s="21" t="str">
        <x:v>modular code; git; tests; environments; documentation</x:v>
      </x:c>
      <x:c r="I135" s="21" t="str">
        <x:v>Test-driven simulation project</x:v>
      </x:c>
      <x:c r="J135" s="21" t="str">
        <x:v>Partial</x:v>
      </x:c>
      <x:c r="K135" s="21" t="str">
        <x:v>29: Computational Physics Workflow</x:v>
      </x:c>
      <x:c r="L135" s="21" t="str">
        <x:v>Critical</x:v>
      </x:c>
      <x:c r="M135" s="21" t="str">
        <x:v>UGC Curriculum and Credit Framework for Undergraduate Programmes • IISc BS Physics course structure • CSIR-UGC NET Physical Sciences syllabus</x:v>
      </x:c>
      <x:c r="N135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35" s="21" t="str">
        <x:v>Normalized gap: confirm exact placement against the adopting board/university's latest detailed syllabus.</x:v>
      </x:c>
    </x:row>
    <x:row r="136">
      <x:c r="A136" s="22" t="n">
        <x:v>212</x:v>
      </x:c>
      <x:c r="B136" s="21" t="str">
        <x:v>Doctoral / Research</x:v>
      </x:c>
      <x:c r="C136" s="21" t="str">
        <x:v>PhD and research training</x:v>
      </x:c>
      <x:c r="D136" s="21" t="str">
        <x:v>Cross-university research preparation; specialization-dependent</x:v>
      </x:c>
      <x:c r="E136" s="21" t="str">
        <x:v>Computational Physics</x:v>
      </x:c>
      <x:c r="F136" s="21" t="str">
        <x:v>HPC</x:v>
      </x:c>
      <x:c r="G136" s="21" t="str">
        <x:v>High-Performance and GPU Computing for Physics</x:v>
      </x:c>
      <x:c r="H136" s="21" t="str">
        <x:v>parallelism; scaling; GPU kernels; job schedulers</x:v>
      </x:c>
      <x:c r="I136" s="21" t="str">
        <x:v>Parallel scaling benchmark</x:v>
      </x:c>
      <x:c r="J136" s="21" t="str">
        <x:v>Partial</x:v>
      </x:c>
      <x:c r="K136" s="21" t="str">
        <x:v>29: Computational Physics Workflow</x:v>
      </x:c>
      <x:c r="L136" s="21" t="str">
        <x:v>High</x:v>
      </x:c>
      <x:c r="M136" s="21" t="str">
        <x:v>UGC Curriculum and Credit Framework for Undergraduate Programmes • IISc BS Physics course structure • CSIR-UGC NET Physical Sciences syllabus</x:v>
      </x:c>
      <x:c r="N136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36" s="21" t="str">
        <x:v>Normalized gap: confirm exact placement against the adopting board/university's latest detailed syllabus.</x:v>
      </x:c>
    </x:row>
    <x:row r="137">
      <x:c r="A137" s="22" t="n">
        <x:v>213</x:v>
      </x:c>
      <x:c r="B137" s="21" t="str">
        <x:v>Doctoral / Research</x:v>
      </x:c>
      <x:c r="C137" s="21" t="str">
        <x:v>PhD and research training</x:v>
      </x:c>
      <x:c r="D137" s="21" t="str">
        <x:v>Cross-university research preparation; specialization-dependent</x:v>
      </x:c>
      <x:c r="E137" s="21" t="str">
        <x:v>Computational Physics</x:v>
      </x:c>
      <x:c r="F137" s="21" t="str">
        <x:v>Data-driven physics</x:v>
      </x:c>
      <x:c r="G137" s="21" t="str">
        <x:v>Machine Learning for Physical Sciences</x:v>
      </x:c>
      <x:c r="H137" s="21" t="str">
        <x:v>regression; classification; neural networks; physics-informed ML</x:v>
      </x:c>
      <x:c r="I137" s="21" t="str">
        <x:v>Surrogate model for a physics simulator</x:v>
      </x:c>
      <x:c r="J137" s="21" t="str">
        <x:v>Missing</x:v>
      </x:c>
      <x:c r="K137" s="21" t="str">
        <x:v>None</x:v>
      </x:c>
      <x:c r="L137" s="21" t="str">
        <x:v>High</x:v>
      </x:c>
      <x:c r="M137" s="21" t="str">
        <x:v>UGC Curriculum and Credit Framework for Undergraduate Programmes • IISc BS Physics course structure • CSIR-UGC NET Physical Sciences syllabus</x:v>
      </x:c>
      <x:c r="N137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37" s="21" t="str">
        <x:v>Normalized gap: confirm exact placement against the adopting board/university's latest detailed syllabus.</x:v>
      </x:c>
    </x:row>
    <x:row r="138">
      <x:c r="A138" s="22" t="n">
        <x:v>214</x:v>
      </x:c>
      <x:c r="B138" s="21" t="str">
        <x:v>Doctoral / Research</x:v>
      </x:c>
      <x:c r="C138" s="21" t="str">
        <x:v>PhD and research training</x:v>
      </x:c>
      <x:c r="D138" s="21" t="str">
        <x:v>Cross-university research preparation; specialization-dependent</x:v>
      </x:c>
      <x:c r="E138" s="21" t="str">
        <x:v>Research Methods</x:v>
      </x:c>
      <x:c r="F138" s="21" t="str">
        <x:v>Data analysis</x:v>
      </x:c>
      <x:c r="G138" s="21" t="str">
        <x:v>Inverse Problems and Parameter Estimation</x:v>
      </x:c>
      <x:c r="H138" s="21" t="str">
        <x:v>regularization; identifiability; optimization; uncertainty</x:v>
      </x:c>
      <x:c r="I138" s="21" t="str">
        <x:v>Recover source parameters from synthetic data</x:v>
      </x:c>
      <x:c r="J138" s="21" t="str">
        <x:v>Missing</x:v>
      </x:c>
      <x:c r="K138" s="21" t="str">
        <x:v>None</x:v>
      </x:c>
      <x:c r="L138" s="21" t="str">
        <x:v>High</x:v>
      </x:c>
      <x:c r="M138" s="21" t="str">
        <x:v>UGC Curriculum and Credit Framework for Undergraduate Programmes • IISc BS Physics course structure • CSIR-UGC NET Physical Sciences syllabus</x:v>
      </x:c>
      <x:c r="N138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38" s="21" t="str">
        <x:v>Normalized gap: confirm exact placement against the adopting board/university's latest detailed syllabus.</x:v>
      </x:c>
    </x:row>
    <x:row r="139">
      <x:c r="A139" s="22" t="n">
        <x:v>215</x:v>
      </x:c>
      <x:c r="B139" s="21" t="str">
        <x:v>Doctoral / Research</x:v>
      </x:c>
      <x:c r="C139" s="21" t="str">
        <x:v>PhD and research training</x:v>
      </x:c>
      <x:c r="D139" s="21" t="str">
        <x:v>Cross-university research preparation; specialization-dependent</x:v>
      </x:c>
      <x:c r="E139" s="21" t="str">
        <x:v>Measurement</x:v>
      </x:c>
      <x:c r="F139" s="21" t="str">
        <x:v>Experimental methods</x:v>
      </x:c>
      <x:c r="G139" s="21" t="str">
        <x:v>Advanced Experimental Design and Noise Reduction</x:v>
      </x:c>
      <x:c r="H139" s="21" t="str">
        <x:v>noise spectra; shielding; grounding; lock-in methods</x:v>
      </x:c>
      <x:c r="I139" s="21" t="str">
        <x:v>Signal recovery below noise lab</x:v>
      </x:c>
      <x:c r="J139" s="21" t="str">
        <x:v>Partial</x:v>
      </x:c>
      <x:c r="K139" s="21" t="str">
        <x:v>30: Measurement, Error, and Significant Figures</x:v>
      </x:c>
      <x:c r="L139" s="21" t="str">
        <x:v>Critical</x:v>
      </x:c>
      <x:c r="M139" s="21" t="str">
        <x:v>UGC Curriculum and Credit Framework for Undergraduate Programmes • IISc BS Physics course structure • CSIR-UGC NET Physical Sciences syllabus</x:v>
      </x:c>
      <x:c r="N139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39" s="21" t="str">
        <x:v>Normalized gap: confirm exact placement against the adopting board/university's latest detailed syllabus.</x:v>
      </x:c>
    </x:row>
    <x:row r="140">
      <x:c r="A140" s="22" t="n">
        <x:v>216</x:v>
      </x:c>
      <x:c r="B140" s="21" t="str">
        <x:v>Doctoral / Research</x:v>
      </x:c>
      <x:c r="C140" s="21" t="str">
        <x:v>PhD and research training</x:v>
      </x:c>
      <x:c r="D140" s="21" t="str">
        <x:v>Cross-university research preparation; specialization-dependent</x:v>
      </x:c>
      <x:c r="E140" s="21" t="str">
        <x:v>Measurement</x:v>
      </x:c>
      <x:c r="F140" s="21" t="str">
        <x:v>Laboratory techniques</x:v>
      </x:c>
      <x:c r="G140" s="21" t="str">
        <x:v>Vacuum, Cryogenic and High-Field Techniques</x:v>
      </x:c>
      <x:c r="H140" s="21" t="str">
        <x:v>vacuum systems; cryogen safety; superconducting magnets</x:v>
      </x:c>
      <x:c r="I140" s="21" t="str">
        <x:v>Virtual vacuum/cryostat commissioning lab</x:v>
      </x:c>
      <x:c r="J140" s="21" t="str">
        <x:v>Missing</x:v>
      </x:c>
      <x:c r="K140" s="21" t="str">
        <x:v>None</x:v>
      </x:c>
      <x:c r="L140" s="21" t="str">
        <x:v>High</x:v>
      </x:c>
      <x:c r="M140" s="21" t="str">
        <x:v>UGC Curriculum and Credit Framework for Undergraduate Programmes • IISc BS Physics course structure • CSIR-UGC NET Physical Sciences syllabus</x:v>
      </x:c>
      <x:c r="N140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40" s="21" t="str">
        <x:v>Normalized gap: confirm exact placement against the adopting board/university's latest detailed syllabus.</x:v>
      </x:c>
    </x:row>
    <x:row r="141">
      <x:c r="A141" s="22" t="n">
        <x:v>217</x:v>
      </x:c>
      <x:c r="B141" s="21" t="str">
        <x:v>Doctoral / Research</x:v>
      </x:c>
      <x:c r="C141" s="21" t="str">
        <x:v>PhD and research training</x:v>
      </x:c>
      <x:c r="D141" s="21" t="str">
        <x:v>Cross-university research preparation; specialization-dependent</x:v>
      </x:c>
      <x:c r="E141" s="21" t="str">
        <x:v>Measurement</x:v>
      </x:c>
      <x:c r="F141" s="21" t="str">
        <x:v>Instrumentation</x:v>
      </x:c>
      <x:c r="G141" s="21" t="str">
        <x:v>Detector Calibration and Response Unfolding</x:v>
      </x:c>
      <x:c r="H141" s="21" t="str">
        <x:v>efficiency; resolution; response matrices; unfolding</x:v>
      </x:c>
      <x:c r="I141" s="21" t="str">
        <x:v>Calibrate and unfold a simulated spectrum</x:v>
      </x:c>
      <x:c r="J141" s="21" t="str">
        <x:v>Missing</x:v>
      </x:c>
      <x:c r="K141" s="21" t="str">
        <x:v>None</x:v>
      </x:c>
      <x:c r="L141" s="21" t="str">
        <x:v>High</x:v>
      </x:c>
      <x:c r="M141" s="21" t="str">
        <x:v>UGC Curriculum and Credit Framework for Undergraduate Programmes • IISc BS Physics course structure • CSIR-UGC NET Physical Sciences syllabus</x:v>
      </x:c>
      <x:c r="N141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41" s="21" t="str">
        <x:v>Normalized gap: confirm exact placement against the adopting board/university's latest detailed syllabus.</x:v>
      </x:c>
    </x:row>
    <x:row r="142">
      <x:c r="A142" s="22" t="n">
        <x:v>218</x:v>
      </x:c>
      <x:c r="B142" s="21" t="str">
        <x:v>Doctoral / Research</x:v>
      </x:c>
      <x:c r="C142" s="21" t="str">
        <x:v>PhD and research training</x:v>
      </x:c>
      <x:c r="D142" s="21" t="str">
        <x:v>Cross-university research preparation; specialization-dependent</x:v>
      </x:c>
      <x:c r="E142" s="21" t="str">
        <x:v>Optics</x:v>
      </x:c>
      <x:c r="F142" s="21" t="str">
        <x:v>Laboratory techniques</x:v>
      </x:c>
      <x:c r="G142" s="21" t="str">
        <x:v>Optical Alignment and Laser Safety</x:v>
      </x:c>
      <x:c r="H142" s="21" t="str">
        <x:v>beam alignment; Gaussian beams; laser classes; interlocks</x:v>
      </x:c>
      <x:c r="I142" s="21" t="str">
        <x:v>Virtual optical table alignment</x:v>
      </x:c>
      <x:c r="J142" s="21" t="str">
        <x:v>Missing</x:v>
      </x:c>
      <x:c r="K142" s="21" t="str">
        <x:v>None</x:v>
      </x:c>
      <x:c r="L142" s="21" t="str">
        <x:v>Critical</x:v>
      </x:c>
      <x:c r="M142" s="21" t="str">
        <x:v>UGC Curriculum and Credit Framework for Undergraduate Programmes • IISc BS Physics course structure • CSIR-UGC NET Physical Sciences syllabus</x:v>
      </x:c>
      <x:c r="N142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42" s="21" t="str">
        <x:v>Normalized gap: confirm exact placement against the adopting board/university's latest detailed syllabus.</x:v>
      </x:c>
    </x:row>
    <x:row r="143">
      <x:c r="A143" s="22" t="n">
        <x:v>219</x:v>
      </x:c>
      <x:c r="B143" s="21" t="str">
        <x:v>Doctoral / Research</x:v>
      </x:c>
      <x:c r="C143" s="21" t="str">
        <x:v>PhD and research training</x:v>
      </x:c>
      <x:c r="D143" s="21" t="str">
        <x:v>Cross-university research preparation; specialization-dependent</x:v>
      </x:c>
      <x:c r="E143" s="21" t="str">
        <x:v>Research Methods</x:v>
      </x:c>
      <x:c r="F143" s="21" t="str">
        <x:v>Safety</x:v>
      </x:c>
      <x:c r="G143" s="21" t="str">
        <x:v>Radiation Protection and Laboratory Safety</x:v>
      </x:c>
      <x:c r="H143" s="21" t="str">
        <x:v>ALARA; dose limits; contamination; emergency procedures</x:v>
      </x:c>
      <x:c r="I143" s="21" t="str">
        <x:v>Radiation work-planning scenario</x:v>
      </x:c>
      <x:c r="J143" s="21" t="str">
        <x:v>Partial</x:v>
      </x:c>
      <x:c r="K143" s="21" t="str">
        <x:v>51: Nuclear Decay and Half-Life</x:v>
      </x:c>
      <x:c r="L143" s="21" t="str">
        <x:v>Critical</x:v>
      </x:c>
      <x:c r="M143" s="21" t="str">
        <x:v>UGC Curriculum and Credit Framework for Undergraduate Programmes • IISc BS Physics course structure • CSIR-UGC NET Physical Sciences syllabus</x:v>
      </x:c>
      <x:c r="N143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43" s="21" t="str">
        <x:v>Normalized gap: confirm exact placement against the adopting board/university's latest detailed syllabus.</x:v>
      </x:c>
    </x:row>
    <x:row r="144">
      <x:c r="A144" s="22" t="n">
        <x:v>220</x:v>
      </x:c>
      <x:c r="B144" s="21" t="str">
        <x:v>Doctoral / Research</x:v>
      </x:c>
      <x:c r="C144" s="21" t="str">
        <x:v>PhD and research training</x:v>
      </x:c>
      <x:c r="D144" s="21" t="str">
        <x:v>Cross-university research preparation; specialization-dependent</x:v>
      </x:c>
      <x:c r="E144" s="21" t="str">
        <x:v>Research Methods</x:v>
      </x:c>
      <x:c r="F144" s="21" t="str">
        <x:v>Scholarship</x:v>
      </x:c>
      <x:c r="G144" s="21" t="str">
        <x:v>Scientific Literature Review and Citation Mapping</x:v>
      </x:c>
      <x:c r="H144" s="21" t="str">
        <x:v>search strategy; evidence quality; citation networks</x:v>
      </x:c>
      <x:c r="I144" s="21" t="str">
        <x:v>Systematic mini-review and citation map</x:v>
      </x:c>
      <x:c r="J144" s="21" t="str">
        <x:v>Missing</x:v>
      </x:c>
      <x:c r="K144" s="21" t="str">
        <x:v>None</x:v>
      </x:c>
      <x:c r="L144" s="21" t="str">
        <x:v>High</x:v>
      </x:c>
      <x:c r="M144" s="21" t="str">
        <x:v>UGC Curriculum and Credit Framework for Undergraduate Programmes • IISc BS Physics course structure • CSIR-UGC NET Physical Sciences syllabus</x:v>
      </x:c>
      <x:c r="N144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44" s="21" t="str">
        <x:v>Normalized gap: confirm exact placement against the adopting board/university's latest detailed syllabus.</x:v>
      </x:c>
    </x:row>
    <x:row r="145">
      <x:c r="A145" s="22" t="n">
        <x:v>221</x:v>
      </x:c>
      <x:c r="B145" s="21" t="str">
        <x:v>Doctoral / Research</x:v>
      </x:c>
      <x:c r="C145" s="21" t="str">
        <x:v>PhD and research training</x:v>
      </x:c>
      <x:c r="D145" s="21" t="str">
        <x:v>Cross-university research preparation; specialization-dependent</x:v>
      </x:c>
      <x:c r="E145" s="21" t="str">
        <x:v>Research Methods</x:v>
      </x:c>
      <x:c r="F145" s="21" t="str">
        <x:v>Communication and ethics</x:v>
      </x:c>
      <x:c r="G145" s="21" t="str">
        <x:v>Scientific Writing, Peer Review and Research Ethics</x:v>
      </x:c>
      <x:c r="H145" s="21" t="str">
        <x:v>papers; figures; peer review; authorship; integrity</x:v>
      </x:c>
      <x:c r="I145" s="21" t="str">
        <x:v>Mock manuscript and peer-review exercise</x:v>
      </x:c>
      <x:c r="J145" s="21" t="str">
        <x:v>Missing</x:v>
      </x:c>
      <x:c r="K145" s="21" t="str">
        <x:v>None</x:v>
      </x:c>
      <x:c r="L145" s="21" t="str">
        <x:v>Critical</x:v>
      </x:c>
      <x:c r="M145" s="21" t="str">
        <x:v>UGC Curriculum and Credit Framework for Undergraduate Programmes • IISc BS Physics course structure • CSIR-UGC NET Physical Sciences syllabus</x:v>
      </x:c>
      <x:c r="N145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45" s="21" t="str">
        <x:v>Normalized gap: confirm exact placement against the adopting board/university's latest detailed syllabus.</x:v>
      </x:c>
    </x:row>
    <x:row r="146">
      <x:c r="A146" s="22" t="n">
        <x:v>222</x:v>
      </x:c>
      <x:c r="B146" s="21" t="str">
        <x:v>Doctoral / Research</x:v>
      </x:c>
      <x:c r="C146" s="21" t="str">
        <x:v>PhD and research training</x:v>
      </x:c>
      <x:c r="D146" s="21" t="str">
        <x:v>Cross-university research preparation; specialization-dependent</x:v>
      </x:c>
      <x:c r="E146" s="21" t="str">
        <x:v>Research Methods</x:v>
      </x:c>
      <x:c r="F146" s="21" t="str">
        <x:v>Data stewardship</x:v>
      </x:c>
      <x:c r="G146" s="21" t="str">
        <x:v>Open Data, FAIR Principles and Metadata</x:v>
      </x:c>
      <x:c r="H146" s="21" t="str">
        <x:v>FAIR data; metadata; repositories; licensing</x:v>
      </x:c>
      <x:c r="I146" s="21" t="str">
        <x:v>Publish a reusable research dataset package</x:v>
      </x:c>
      <x:c r="J146" s="21" t="str">
        <x:v>Missing</x:v>
      </x:c>
      <x:c r="K146" s="21" t="str">
        <x:v>None</x:v>
      </x:c>
      <x:c r="L146" s="21" t="str">
        <x:v>High</x:v>
      </x:c>
      <x:c r="M146" s="21" t="str">
        <x:v>UGC Curriculum and Credit Framework for Undergraduate Programmes • IISc BS Physics course structure • CSIR-UGC NET Physical Sciences syllabus</x:v>
      </x:c>
      <x:c r="N146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46" s="21" t="str">
        <x:v>Normalized gap: confirm exact placement against the adopting board/university's latest detailed syllabus.</x:v>
      </x:c>
    </x:row>
    <x:row r="147">
      <x:c r="A147" s="22" t="n">
        <x:v>223</x:v>
      </x:c>
      <x:c r="B147" s="21" t="str">
        <x:v>Doctoral / Research</x:v>
      </x:c>
      <x:c r="C147" s="21" t="str">
        <x:v>PhD and research training</x:v>
      </x:c>
      <x:c r="D147" s="21" t="str">
        <x:v>Cross-university research preparation; specialization-dependent</x:v>
      </x:c>
      <x:c r="E147" s="21" t="str">
        <x:v>Research Methods</x:v>
      </x:c>
      <x:c r="F147" s="21" t="str">
        <x:v>Communication</x:v>
      </x:c>
      <x:c r="G147" s="21" t="str">
        <x:v>Seminar, Proposal and Viva Communication</x:v>
      </x:c>
      <x:c r="H147" s="21" t="str">
        <x:v>research pitch; proposal; defense; visual explanation</x:v>
      </x:c>
      <x:c r="I147" s="21" t="str">
        <x:v>Proposal defense and seminar rubric lab</x:v>
      </x:c>
      <x:c r="J147" s="21" t="str">
        <x:v>Missing</x:v>
      </x:c>
      <x:c r="K147" s="21" t="str">
        <x:v>None</x:v>
      </x:c>
      <x:c r="L147" s="21" t="str">
        <x:v>High</x:v>
      </x:c>
      <x:c r="M147" s="21" t="str">
        <x:v>UGC Curriculum and Credit Framework for Undergraduate Programmes • IISc BS Physics course structure • CSIR-UGC NET Physical Sciences syllabus</x:v>
      </x:c>
      <x:c r="N147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47" s="21" t="str">
        <x:v>Normalized gap: confirm exact placement against the adopting board/university's latest detailed syllabus.</x:v>
      </x:c>
    </x:row>
    <x:row r="148">
      <x:c r="A148" s="22" t="n">
        <x:v>224</x:v>
      </x:c>
      <x:c r="B148" s="21" t="str">
        <x:v>Doctoral / Research</x:v>
      </x:c>
      <x:c r="C148" s="21" t="str">
        <x:v>PhD and research training</x:v>
      </x:c>
      <x:c r="D148" s="21" t="str">
        <x:v>Cross-university research preparation; specialization-dependent</x:v>
      </x:c>
      <x:c r="E148" s="21" t="str">
        <x:v>Modern Physics</x:v>
      </x:c>
      <x:c r="F148" s="21" t="str">
        <x:v>Frontier elective</x:v>
      </x:c>
      <x:c r="G148" s="21" t="str">
        <x:v>Specialized Frontier Module: Quantum Information</x:v>
      </x:c>
      <x:c r="H148" s="21" t="str">
        <x:v>qubits; gates; entanglement; measurement; algorithms</x:v>
      </x:c>
      <x:c r="I148" s="21" t="str">
        <x:v>Quantum circuit simulator</x:v>
      </x:c>
      <x:c r="J148" s="21" t="str">
        <x:v>Partial</x:v>
      </x:c>
      <x:c r="K148" s="21" t="str">
        <x:v>48: Advanced Quantum Operators</x:v>
      </x:c>
      <x:c r="L148" s="21" t="str">
        <x:v>Advanced</x:v>
      </x:c>
      <x:c r="M148" s="21" t="str">
        <x:v>UGC Curriculum and Credit Framework for Undergraduate Programmes • IISc BS Physics course structure • CSIR-UGC NET Physical Sciences syllabus</x:v>
      </x:c>
      <x:c r="N148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48" s="21" t="str">
        <x:v>Normalized gap: confirm exact placement against the adopting board/university's latest detailed syllabus.</x:v>
      </x:c>
    </x:row>
    <x:row r="149">
      <x:c r="A149" s="22" t="n">
        <x:v>225</x:v>
      </x:c>
      <x:c r="B149" s="21" t="str">
        <x:v>Doctoral / Research</x:v>
      </x:c>
      <x:c r="C149" s="21" t="str">
        <x:v>PhD and research training</x:v>
      </x:c>
      <x:c r="D149" s="21" t="str">
        <x:v>Cross-university research preparation; specialization-dependent</x:v>
      </x:c>
      <x:c r="E149" s="21" t="str">
        <x:v>Condensed Matter</x:v>
      </x:c>
      <x:c r="F149" s="21" t="str">
        <x:v>Frontier elective</x:v>
      </x:c>
      <x:c r="G149" s="21" t="str">
        <x:v>Specialized Frontier Module: Topological Quantum Matter</x:v>
      </x:c>
      <x:c r="H149" s="21" t="str">
        <x:v>topological invariants; edge states; quantum Hall effects</x:v>
      </x:c>
      <x:c r="I149" s="21" t="str">
        <x:v>Chern-band and edge-state explorer</x:v>
      </x:c>
      <x:c r="J149" s="21" t="str">
        <x:v>Missing</x:v>
      </x:c>
      <x:c r="K149" s="21" t="str">
        <x:v>None</x:v>
      </x:c>
      <x:c r="L149" s="21" t="str">
        <x:v>Advanced</x:v>
      </x:c>
      <x:c r="M149" s="21" t="str">
        <x:v>UGC Curriculum and Credit Framework for Undergraduate Programmes • IISc BS Physics course structure • CSIR-UGC NET Physical Sciences syllabus</x:v>
      </x:c>
      <x:c r="N149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49" s="21" t="str">
        <x:v>Normalized gap: confirm exact placement against the adopting board/university's latest detailed syllabus.</x:v>
      </x:c>
    </x:row>
    <x:row r="150">
      <x:c r="A150" s="22" t="n">
        <x:v>226</x:v>
      </x:c>
      <x:c r="B150" s="21" t="str">
        <x:v>Doctoral / Research</x:v>
      </x:c>
      <x:c r="C150" s="21" t="str">
        <x:v>PhD and research training</x:v>
      </x:c>
      <x:c r="D150" s="21" t="str">
        <x:v>Cross-university research preparation; specialization-dependent</x:v>
      </x:c>
      <x:c r="E150" s="21" t="str">
        <x:v>Astronomy</x:v>
      </x:c>
      <x:c r="F150" s="21" t="str">
        <x:v>Frontier elective</x:v>
      </x:c>
      <x:c r="G150" s="21" t="str">
        <x:v>Specialized Frontier Module: Gravitational Waves</x:v>
      </x:c>
      <x:c r="H150" s="21" t="str">
        <x:v>wave generation; interferometric detection; signals</x:v>
      </x:c>
      <x:c r="I150" s="21" t="str">
        <x:v>Gravitational-wave matched-filter lab</x:v>
      </x:c>
      <x:c r="J150" s="21" t="str">
        <x:v>Missing</x:v>
      </x:c>
      <x:c r="K150" s="21" t="str">
        <x:v>None</x:v>
      </x:c>
      <x:c r="L150" s="21" t="str">
        <x:v>Advanced</x:v>
      </x:c>
      <x:c r="M150" s="21" t="str">
        <x:v>UGC Curriculum and Credit Framework for Undergraduate Programmes • IISc BS Physics course structure • CSIR-UGC NET Physical Sciences syllabus</x:v>
      </x:c>
      <x:c r="N150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50" s="21" t="str">
        <x:v>Normalized gap: confirm exact placement against the adopting board/university's latest detailed syllabus.</x:v>
      </x:c>
    </x:row>
    <x:row r="151">
      <x:c r="A151" s="22" t="n">
        <x:v>227</x:v>
      </x:c>
      <x:c r="B151" s="21" t="str">
        <x:v>Doctoral / Research</x:v>
      </x:c>
      <x:c r="C151" s="21" t="str">
        <x:v>PhD and research training</x:v>
      </x:c>
      <x:c r="D151" s="21" t="str">
        <x:v>Cross-university research preparation; specialization-dependent</x:v>
      </x:c>
      <x:c r="E151" s="21" t="str">
        <x:v>Condensed Matter</x:v>
      </x:c>
      <x:c r="F151" s="21" t="str">
        <x:v>Frontier elective</x:v>
      </x:c>
      <x:c r="G151" s="21" t="str">
        <x:v>Specialized Frontier Module: Soft and Biological Matter</x:v>
      </x:c>
      <x:c r="H151" s="21" t="str">
        <x:v>polymers; membranes; active matter; biophysical forces</x:v>
      </x:c>
      <x:c r="I151" s="21" t="str">
        <x:v>Brownian and active-matter simulation</x:v>
      </x:c>
      <x:c r="J151" s="21" t="str">
        <x:v>Missing</x:v>
      </x:c>
      <x:c r="K151" s="21" t="str">
        <x:v>None</x:v>
      </x:c>
      <x:c r="L151" s="21" t="str">
        <x:v>Advanced</x:v>
      </x:c>
      <x:c r="M151" s="21" t="str">
        <x:v>UGC Curriculum and Credit Framework for Undergraduate Programmes • IISc BS Physics course structure • CSIR-UGC NET Physical Sciences syllabus</x:v>
      </x:c>
      <x:c r="N151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51" s="21" t="str">
        <x:v>Normalized gap: confirm exact placement against the adopting board/university's latest detailed syllabus.</x:v>
      </x:c>
    </x:row>
    <x:row r="152">
      <x:c r="A152" s="22" t="n">
        <x:v>228</x:v>
      </x:c>
      <x:c r="B152" s="21" t="str">
        <x:v>Doctoral / Research</x:v>
      </x:c>
      <x:c r="C152" s="21" t="str">
        <x:v>PhD and research training</x:v>
      </x:c>
      <x:c r="D152" s="21" t="str">
        <x:v>Cross-university research preparation; specialization-dependent</x:v>
      </x:c>
      <x:c r="E152" s="21" t="str">
        <x:v>Earth Physics</x:v>
      </x:c>
      <x:c r="F152" s="21" t="str">
        <x:v>Frontier elective</x:v>
      </x:c>
      <x:c r="G152" s="21" t="str">
        <x:v>Specialized Frontier Module: Climate and Earth-System Physics</x:v>
      </x:c>
      <x:c r="H152" s="21" t="str">
        <x:v>radiative balance; fluids; feedbacks; remote sensing</x:v>
      </x:c>
      <x:c r="I152" s="21" t="str">
        <x:v>Zero-dimensional climate model</x:v>
      </x:c>
      <x:c r="J152" s="21" t="str">
        <x:v>Partial</x:v>
      </x:c>
      <x:c r="K152" s="21" t="str">
        <x:v>68: Heat Transfer</x:v>
      </x:c>
      <x:c r="L152" s="21" t="str">
        <x:v>Advanced</x:v>
      </x:c>
      <x:c r="M152" s="21" t="str">
        <x:v>UGC Curriculum and Credit Framework for Undergraduate Programmes • IISc BS Physics course structure • CSIR-UGC NET Physical Sciences syllabus</x:v>
      </x:c>
      <x:c r="N152" s="21" t="str">
        <x:v>https://www.ugc.gov.in/KeyInitiative?ID=yiPY1rgAlvz9%2F1chFf86gg%3D%3D • https://bs-ug.iisc.ac.in/course-structure/physics?from=home • https://www.csirhrdg.res.in/SiteContent/ManagedContent/ContentFiles/20181113115324688mcs_ph_sylbs.pdf</x:v>
      </x:c>
      <x:c r="O152" s="21" t="str">
        <x:v>Normalized gap: confirm exact placement against the adopting board/university's latest detailed syllabus.</x:v>
      </x:c>
    </x:row>
  </x:sheetData>
  <x:mergeCells>
    <x:mergeCell ref="A1:O1"/>
    <x:mergeCell ref="A2:O2"/>
  </x:mergeCells>
  <x:conditionalFormatting sqref="J5:J152">
    <x:cfRule type="expression" dxfId="0" priority="1">
      <x:formula>J5="Missing"</x:formula>
    </x:cfRule>
    <x:cfRule type="expression" dxfId="1" priority="2">
      <x:formula>J5="Partial"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3e13bf4cc24d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55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2" customHeight="1">
      <x:c r="A1" s="17" t="str">
        <x:v>Framework Matrix</x:v>
      </x:c>
      <x:c r="B1" s="17"/>
      <x:c r="C1" s="17"/>
      <x:c r="D1" s="17"/>
      <x:c r="E1" s="17"/>
      <x:c r="F1" s="17"/>
      <x:c r="G1" s="17"/>
    </x:row>
    <x:row r="2" ht="32" customHeight="1">
      <x:c r="A2" s="18" t="str">
        <x:v>Counts are formula-driven from the Missing Lessons sheet; filters there provide the full lesson-level evidence.</x:v>
      </x:c>
      <x:c r="B2" s="18"/>
      <x:c r="C2" s="18"/>
      <x:c r="D2" s="18"/>
      <x:c r="E2" s="18"/>
      <x:c r="F2" s="18"/>
      <x:c r="G2" s="18"/>
    </x:row>
    <x:row r="3">
      <x:c r="A3" s="19"/>
      <x:c r="B3" s="19"/>
      <x:c r="C3" s="19"/>
      <x:c r="D3" s="19"/>
      <x:c r="E3" s="19"/>
      <x:c r="F3" s="19"/>
      <x:c r="G3" s="19"/>
    </x:row>
    <x:row r="4">
      <x:c r="A4" s="33" t="str">
        <x:v>Stage</x:v>
      </x:c>
      <x:c r="B4" s="33" t="str">
        <x:v>Framework Coverage</x:v>
      </x:c>
      <x:c r="C4" s="33" t="str">
        <x:v>Level</x:v>
      </x:c>
      <x:c r="D4" s="33" t="str">
        <x:v>Method Note</x:v>
      </x:c>
      <x:c r="E4" s="33" t="str">
        <x:v>Total Gaps</x:v>
      </x:c>
      <x:c r="F4" s="33" t="str">
        <x:v>Missing</x:v>
      </x:c>
      <x:c r="G4" s="33" t="str">
        <x:v>Partial</x:v>
      </x:c>
    </x:row>
    <x:row r="5">
      <x:c r="A5" s="34" t="str">
        <x:v>Foundational</x:v>
      </x:c>
      <x:c r="B5" s="34" t="str">
        <x:v>NCF-FS; school-foundational programmes</x:v>
      </x:c>
      <x:c r="C5" s="34" t="str">
        <x:v>KG–Grade 2</x:v>
      </x:c>
      <x:c r="D5" s="34" t="str">
        <x:v>Developmental continuum; physics is integrated into play and environmental exploration.</x:v>
      </x:c>
      <x:c r="E5" s="35" t="n">
        <x:f>COUNTIF('Missing Lessons'!$B$5:$B$152,A5)</x:f>
        <x:v>12</x:v>
      </x:c>
      <x:c r="F5" s="35" t="n">
        <x:f>COUNTIFS('Missing Lessons'!$B$5:$B$152,A5,'Missing Lessons'!$J$5:$J$152,"Missing")</x:f>
        <x:v>0</x:v>
      </x:c>
      <x:c r="G5" s="35" t="n">
        <x:f>COUNTIFS('Missing Lessons'!$B$5:$B$152,A5,'Missing Lessons'!$J$5:$J$152,"Partial")</x:f>
        <x:v>12</x:v>
      </x:c>
    </x:row>
    <x:row r="6">
      <x:c r="A6" s="34" t="str">
        <x:v>Preparatory</x:v>
      </x:c>
      <x:c r="B6" s="34" t="str">
        <x:v>NCF-SE; CBSE/CISCE/State primary science</x:v>
      </x:c>
      <x:c r="C6" s="34" t="str">
        <x:v>Grades 3–5</x:v>
      </x:c>
      <x:c r="D6" s="34" t="str">
        <x:v>Integrated science/environmental studies rather than a standalone Physics subject.</x:v>
      </x:c>
      <x:c r="E6" s="35" t="n">
        <x:f>COUNTIF('Missing Lessons'!$B$5:$B$152,A6)</x:f>
        <x:v>18</x:v>
      </x:c>
      <x:c r="F6" s="35" t="n">
        <x:f>COUNTIFS('Missing Lessons'!$B$5:$B$152,A6,'Missing Lessons'!$J$5:$J$152,"Missing")</x:f>
        <x:v>0</x:v>
      </x:c>
      <x:c r="G6" s="35" t="n">
        <x:f>COUNTIFS('Missing Lessons'!$B$5:$B$152,A6,'Missing Lessons'!$J$5:$J$152,"Partial")</x:f>
        <x:v>18</x:v>
      </x:c>
    </x:row>
    <x:row r="7">
      <x:c r="A7" s="34" t="str">
        <x:v>Middle</x:v>
      </x:c>
      <x:c r="B7" s="34" t="str">
        <x:v>NCF-SE; CBSE/CISCE/State middle science</x:v>
      </x:c>
      <x:c r="C7" s="34" t="str">
        <x:v>Grades 6–8</x:v>
      </x:c>
      <x:c r="D7" s="34" t="str">
        <x:v>Shared conceptual core; chapter order and depth vary by board/state.</x:v>
      </x:c>
      <x:c r="E7" s="35" t="n">
        <x:f>COUNTIF('Missing Lessons'!$B$5:$B$152,A7)</x:f>
        <x:v>15</x:v>
      </x:c>
      <x:c r="F7" s="35" t="n">
        <x:f>COUNTIFS('Missing Lessons'!$B$5:$B$152,A7,'Missing Lessons'!$J$5:$J$152,"Missing")</x:f>
        <x:v>0</x:v>
      </x:c>
      <x:c r="G7" s="35" t="n">
        <x:f>COUNTIFS('Missing Lessons'!$B$5:$B$152,A7,'Missing Lessons'!$J$5:$J$152,"Partial")</x:f>
        <x:v>15</x:v>
      </x:c>
    </x:row>
    <x:row r="8">
      <x:c r="A8" s="34" t="str">
        <x:v>Secondary</x:v>
      </x:c>
      <x:c r="B8" s="34" t="str">
        <x:v>CBSE Science; ICSE Physics; State science</x:v>
      </x:c>
      <x:c r="C8" s="34" t="str">
        <x:v>Grades 9–10</x:v>
      </x:c>
      <x:c r="D8" s="34" t="str">
        <x:v>Board-specific inclusions are retained through applicability and source fields.</x:v>
      </x:c>
      <x:c r="E8" s="35" t="n">
        <x:f>COUNTIF('Missing Lessons'!$B$5:$B$152,A8)</x:f>
        <x:v>12</x:v>
      </x:c>
      <x:c r="F8" s="35" t="n">
        <x:f>COUNTIFS('Missing Lessons'!$B$5:$B$152,A8,'Missing Lessons'!$J$5:$J$152,"Missing")</x:f>
        <x:v>0</x:v>
      </x:c>
      <x:c r="G8" s="35" t="n">
        <x:f>COUNTIFS('Missing Lessons'!$B$5:$B$152,A8,'Missing Lessons'!$J$5:$J$152,"Partial")</x:f>
        <x:v>12</x:v>
      </x:c>
    </x:row>
    <x:row r="9">
      <x:c r="A9" s="34" t="str">
        <x:v>Senior Secondary</x:v>
      </x:c>
      <x:c r="B9" s="34" t="str">
        <x:v>CBSE Physics; ISC Physics; State Physics</x:v>
      </x:c>
      <x:c r="C9" s="34" t="str">
        <x:v>Grades 11–12</x:v>
      </x:c>
      <x:c r="D9" s="34" t="str">
        <x:v>Topic-level comparison against current board documents and representative state content.</x:v>
      </x:c>
      <x:c r="E9" s="35" t="n">
        <x:f>COUNTIF('Missing Lessons'!$B$5:$B$152,A9)</x:f>
        <x:v>21</x:v>
      </x:c>
      <x:c r="F9" s="35" t="n">
        <x:f>COUNTIFS('Missing Lessons'!$B$5:$B$152,A9,'Missing Lessons'!$J$5:$J$152,"Missing")</x:f>
        <x:v>0</x:v>
      </x:c>
      <x:c r="G9" s="35" t="n">
        <x:f>COUNTIFS('Missing Lessons'!$B$5:$B$152,A9,'Missing Lessons'!$J$5:$J$152,"Partial")</x:f>
        <x:v>21</x:v>
      </x:c>
    </x:row>
    <x:row r="10">
      <x:c r="A10" s="34" t="str">
        <x:v>Undergraduate</x:v>
      </x:c>
      <x:c r="B10" s="34" t="str">
        <x:v>UGC-aligned core; DU/IISc representative curricula</x:v>
      </x:c>
      <x:c r="C10" s="34" t="str">
        <x:v>BSc/BS Years 1–4</x:v>
      </x:c>
      <x:c r="D10" s="34" t="str">
        <x:v>Normalized common core plus frequently offered laboratory/computational areas.</x:v>
      </x:c>
      <x:c r="E10" s="35" t="n">
        <x:f>COUNTIF('Missing Lessons'!$B$5:$B$152,A10)</x:f>
        <x:v>30</x:v>
      </x:c>
      <x:c r="F10" s="35" t="n">
        <x:f>COUNTIFS('Missing Lessons'!$B$5:$B$152,A10,'Missing Lessons'!$J$5:$J$152,"Missing")</x:f>
        <x:v>3</x:v>
      </x:c>
      <x:c r="G10" s="35" t="n">
        <x:f>COUNTIFS('Missing Lessons'!$B$5:$B$152,A10,'Missing Lessons'!$J$5:$J$152,"Partial")</x:f>
        <x:v>27</x:v>
      </x:c>
    </x:row>
    <x:row r="11">
      <x:c r="A11" s="34" t="str">
        <x:v>Postgraduate</x:v>
      </x:c>
      <x:c r="B11" s="34" t="str">
        <x:v>Representative MSc/MS curricula; CSIR-NET coverage</x:v>
      </x:c>
      <x:c r="C11" s="34" t="str">
        <x:v>MSc/MS</x:v>
      </x:c>
      <x:c r="D11" s="34" t="str">
        <x:v>Common advanced core and electives; not every module is compulsory everywhere.</x:v>
      </x:c>
      <x:c r="E11" s="35" t="n">
        <x:f>COUNTIF('Missing Lessons'!$B$5:$B$152,A11)</x:f>
        <x:v>20</x:v>
      </x:c>
      <x:c r="F11" s="35" t="n">
        <x:f>COUNTIFS('Missing Lessons'!$B$5:$B$152,A11,'Missing Lessons'!$J$5:$J$152,"Missing")</x:f>
        <x:v>7</x:v>
      </x:c>
      <x:c r="G11" s="35" t="n">
        <x:f>COUNTIFS('Missing Lessons'!$B$5:$B$152,A11,'Missing Lessons'!$J$5:$J$152,"Partial")</x:f>
        <x:v>13</x:v>
      </x:c>
    </x:row>
    <x:row r="12">
      <x:c r="A12" s="34" t="str">
        <x:v>Doctoral / Research</x:v>
      </x:c>
      <x:c r="B12" s="34" t="str">
        <x:v>Research training and specialization modules</x:v>
      </x:c>
      <x:c r="C12" s="34" t="str">
        <x:v>PhD</x:v>
      </x:c>
      <x:c r="D12" s="34" t="str">
        <x:v>Research-methods gaps plus frontier electives; institution and thesis-area dependent.</x:v>
      </x:c>
      <x:c r="E12" s="35" t="n">
        <x:f>COUNTIF('Missing Lessons'!$B$5:$B$152,A12)</x:f>
        <x:v>20</x:v>
      </x:c>
      <x:c r="F12" s="35" t="n">
        <x:f>COUNTIFS('Missing Lessons'!$B$5:$B$152,A12,'Missing Lessons'!$J$5:$J$152,"Missing")</x:f>
        <x:v>12</x:v>
      </x:c>
      <x:c r="G12" s="35" t="n">
        <x:f>COUNTIFS('Missing Lessons'!$B$5:$B$152,A12,'Missing Lessons'!$J$5:$J$152,"Partial")</x:f>
        <x:v>8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4" hidden="0" customWidth="1"/>
    <x:col min="4" max="4" width="27" hidden="0" customWidth="1"/>
    <x:col min="5" max="5" width="22" hidden="0" customWidth="1"/>
    <x:col min="6" max="6" width="13" hidden="0" customWidth="1"/>
    <x:col min="7" max="7" width="40" hidden="0" customWidth="1"/>
    <x:col min="8" max="8" width="45" hidden="0" customWidth="1"/>
  </x:cols>
  <x:sheetData>
    <x:row r="1" ht="32" customHeight="1">
      <x:c r="A1" s="17" t="str">
        <x:v>Existing 80</x:v>
      </x:c>
      <x:c r="B1" s="17"/>
      <x:c r="C1" s="17"/>
      <x:c r="D1" s="17"/>
      <x:c r="E1" s="17"/>
      <x:c r="F1" s="17"/>
      <x:c r="G1" s="17"/>
      <x:c r="H1" s="17"/>
    </x:row>
    <x:row r="2" ht="32" customHeight="1">
      <x:c r="A2" s="18" t="str">
        <x:v>Baseline catalog used for gap comparison; IDs 1–80 are preserved.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 ht="36" customHeight="1">
      <x:c r="A4" s="20" t="str">
        <x:v>Lesson ID</x:v>
      </x:c>
      <x:c r="B4" s="20" t="str">
        <x:v>Category</x:v>
      </x:c>
      <x:c r="C4" s="20" t="str">
        <x:v>Lesson</x:v>
      </x:c>
      <x:c r="D4" s="20" t="str">
        <x:v>Lesson Code</x:v>
      </x:c>
      <x:c r="E4" s="20" t="str">
        <x:v>Class Level</x:v>
      </x:c>
      <x:c r="F4" s="20" t="str">
        <x:v>Difficulty</x:v>
      </x:c>
      <x:c r="G4" s="20" t="str">
        <x:v>Mapped Unit(s)</x:v>
      </x:c>
      <x:c r="H4" s="20" t="str">
        <x:v>Mapped Topic(s)</x:v>
      </x:c>
    </x:row>
    <x:row r="5">
      <x:c r="A5" s="22" t="n">
        <x:v>1</x:v>
      </x:c>
      <x:c r="B5" s="21" t="str">
        <x:v>Astronomy</x:v>
      </x:c>
      <x:c r="C5" s="21" t="str">
        <x:v>Satellite Orbit and Escape Speed</x:v>
      </x:c>
      <x:c r="D5" s="21" t="str">
        <x:v>satellite-orbit</x:v>
      </x:c>
      <x:c r="E5" s="21" t="str">
        <x:v>Class 11</x:v>
      </x:c>
      <x:c r="F5" s="21" t="str">
        <x:v>Intermediate</x:v>
      </x:c>
      <x:c r="G5" s="21" t="str">
        <x:v>Laws, Energy, Rotation, and Gravitation • Core Physics • Advanced Physics • Research Lanes</x:v>
      </x:c>
      <x:c r="H5" s="21" t="str">
        <x:v>Gravitation • Analytical Mechanics • Plasma and Astrophysics • High Energy and Cosmology</x:v>
      </x:c>
    </x:row>
    <x:row r="6">
      <x:c r="A6" s="22" t="n">
        <x:v>2</x:v>
      </x:c>
      <x:c r="B6" s="21" t="str">
        <x:v>Astronomy</x:v>
      </x:c>
      <x:c r="C6" s="21" t="str">
        <x:v>Universal Gravitation Field Map</x:v>
      </x:c>
      <x:c r="D6" s="21" t="str">
        <x:v>universal-gravitation</x:v>
      </x:c>
      <x:c r="E6" s="21" t="str">
        <x:v>Class 9 / Class 11</x:v>
      </x:c>
      <x:c r="F6" s="21" t="str">
        <x:v>Intermediate</x:v>
      </x:c>
      <x:c r="G6" s="21" t="str">
        <x:v>Unmapped</x:v>
      </x:c>
      <x:c r="H6" s="21" t="str">
        <x:v>Unmapped</x:v>
      </x:c>
    </x:row>
    <x:row r="7">
      <x:c r="A7" s="22" t="n">
        <x:v>3</x:v>
      </x:c>
      <x:c r="B7" s="21" t="str">
        <x:v>Electricity</x:v>
      </x:c>
      <x:c r="C7" s="21" t="str">
        <x:v>AC Generator</x:v>
      </x:c>
      <x:c r="D7" s="21" t="str">
        <x:v>ac-generator</x:v>
      </x:c>
      <x:c r="E7" s="21" t="str">
        <x:v>Class 12</x:v>
      </x:c>
      <x:c r="F7" s="21" t="str">
        <x:v>Intermediate</x:v>
      </x:c>
      <x:c r="G7" s="21" t="str">
        <x:v>Electricity and Magnetism</x:v>
      </x:c>
      <x:c r="H7" s="21" t="str">
        <x:v>EMI and Alternating Current</x:v>
      </x:c>
    </x:row>
    <x:row r="8">
      <x:c r="A8" s="22" t="n">
        <x:v>4</x:v>
      </x:c>
      <x:c r="B8" s="21" t="str">
        <x:v>Electricity</x:v>
      </x:c>
      <x:c r="C8" s="21" t="str">
        <x:v>AC LCR Resonance</x:v>
      </x:c>
      <x:c r="D8" s="21" t="str">
        <x:v>ac-lcr-resonance</x:v>
      </x:c>
      <x:c r="E8" s="21" t="str">
        <x:v>Class 12</x:v>
      </x:c>
      <x:c r="F8" s="21" t="str">
        <x:v>Intermediate</x:v>
      </x:c>
      <x:c r="G8" s="21" t="str">
        <x:v>Electricity and Magnetism • Core Physics</x:v>
      </x:c>
      <x:c r="H8" s="21" t="str">
        <x:v>EMI and Alternating Current • Electrodynamics</x:v>
      </x:c>
    </x:row>
    <x:row r="9">
      <x:c r="A9" s="22" t="n">
        <x:v>5</x:v>
      </x:c>
      <x:c r="B9" s="21" t="str">
        <x:v>Electricity</x:v>
      </x:c>
      <x:c r="C9" s="21" t="str">
        <x:v>Capacitor Energy and Combination</x:v>
      </x:c>
      <x:c r="D9" s="21" t="str">
        <x:v>capacitor-lab</x:v>
      </x:c>
      <x:c r="E9" s="21" t="str">
        <x:v>Class 12</x:v>
      </x:c>
      <x:c r="F9" s="21" t="str">
        <x:v>Intermediate</x:v>
      </x:c>
      <x:c r="G9" s="21" t="str">
        <x:v>Electricity and Magnetism</x:v>
      </x:c>
      <x:c r="H9" s="21" t="str">
        <x:v>Electric Charges, Fields, Potential, and Capacitance</x:v>
      </x:c>
    </x:row>
    <x:row r="10">
      <x:c r="A10" s="22" t="n">
        <x:v>6</x:v>
      </x:c>
      <x:c r="B10" s="21" t="str">
        <x:v>Electricity</x:v>
      </x:c>
      <x:c r="C10" s="21" t="str">
        <x:v>Cell Internal Resistance</x:v>
      </x:c>
      <x:c r="D10" s="21" t="str">
        <x:v>internal-resistance-cell</x:v>
      </x:c>
      <x:c r="E10" s="21" t="str">
        <x:v>Class 12</x:v>
      </x:c>
      <x:c r="F10" s="21" t="str">
        <x:v>Intermediate</x:v>
      </x:c>
      <x:c r="G10" s="21" t="str">
        <x:v>Electricity and Magnetism</x:v>
      </x:c>
      <x:c r="H10" s="21" t="str">
        <x:v>Current Electricity</x:v>
      </x:c>
    </x:row>
    <x:row r="11">
      <x:c r="A11" s="22" t="n">
        <x:v>7</x:v>
      </x:c>
      <x:c r="B11" s="21" t="str">
        <x:v>Electricity</x:v>
      </x:c>
      <x:c r="C11" s="21" t="str">
        <x:v>Chemical Effects of Current</x:v>
      </x:c>
      <x:c r="D11" s="21" t="str">
        <x:v>chemical-effects-current</x:v>
      </x:c>
      <x:c r="E11" s="21" t="str">
        <x:v>Class 8</x:v>
      </x:c>
      <x:c r="F11" s="21" t="str">
        <x:v>Beginner</x:v>
      </x:c>
      <x:c r="G11" s="21" t="str">
        <x:v>Electricity and Natural Phenomena</x:v>
      </x:c>
      <x:c r="H11" s="21" t="str">
        <x:v>Chemical Effects of Current</x:v>
      </x:c>
    </x:row>
    <x:row r="12">
      <x:c r="A12" s="22" t="n">
        <x:v>8</x:v>
      </x:c>
      <x:c r="B12" s="21" t="str">
        <x:v>Electricity</x:v>
      </x:c>
      <x:c r="C12" s="21" t="str">
        <x:v>Electric Power and Energy</x:v>
      </x:c>
      <x:c r="D12" s="21" t="str">
        <x:v>electric-power</x:v>
      </x:c>
      <x:c r="E12" s="21" t="str">
        <x:v>Class 10</x:v>
      </x:c>
      <x:c r="F12" s="21" t="str">
        <x:v>Beginner</x:v>
      </x:c>
      <x:c r="G12" s="21" t="str">
        <x:v>Effects of Current</x:v>
      </x:c>
      <x:c r="H12" s="21" t="str">
        <x:v>Heating Effect and Electric Power</x:v>
      </x:c>
    </x:row>
    <x:row r="13">
      <x:c r="A13" s="22" t="n">
        <x:v>9</x:v>
      </x:c>
      <x:c r="B13" s="21" t="str">
        <x:v>Electricity</x:v>
      </x:c>
      <x:c r="C13" s="21" t="str">
        <x:v>Electrostatic Field and Potential</x:v>
      </x:c>
      <x:c r="D13" s="21" t="str">
        <x:v>electrostatic-field-potential</x:v>
      </x:c>
      <x:c r="E13" s="21" t="str">
        <x:v>Class 12</x:v>
      </x:c>
      <x:c r="F13" s="21" t="str">
        <x:v>Intermediate</x:v>
      </x:c>
      <x:c r="G13" s="21" t="str">
        <x:v>Electricity and Magnetism • Core Physics</x:v>
      </x:c>
      <x:c r="H13" s="21" t="str">
        <x:v>Electric Charges, Fields, Potential, and Capacitance • Electrodynamics</x:v>
      </x:c>
    </x:row>
    <x:row r="14">
      <x:c r="A14" s="22" t="n">
        <x:v>10</x:v>
      </x:c>
      <x:c r="B14" s="21" t="str">
        <x:v>Electricity</x:v>
      </x:c>
      <x:c r="C14" s="21" t="str">
        <x:v>Faraday Induction</x:v>
      </x:c>
      <x:c r="D14" s="21" t="str">
        <x:v>emi-faraday</x:v>
      </x:c>
      <x:c r="E14" s="21" t="str">
        <x:v>Class 12</x:v>
      </x:c>
      <x:c r="F14" s="21" t="str">
        <x:v>Intermediate</x:v>
      </x:c>
      <x:c r="G14" s="21" t="str">
        <x:v>Electricity and Magnetism • Core Physics</x:v>
      </x:c>
      <x:c r="H14" s="21" t="str">
        <x:v>EMI and Alternating Current • Electrodynamics</x:v>
      </x:c>
    </x:row>
    <x:row r="15">
      <x:c r="A15" s="22" t="n">
        <x:v>11</x:v>
      </x:c>
      <x:c r="B15" s="21" t="str">
        <x:v>Electricity</x:v>
      </x:c>
      <x:c r="C15" s="21" t="str">
        <x:v>Heating Effect of Current</x:v>
      </x:c>
      <x:c r="D15" s="21" t="str">
        <x:v>heating-effect-current</x:v>
      </x:c>
      <x:c r="E15" s="21" t="str">
        <x:v>Class 7 / Class 10</x:v>
      </x:c>
      <x:c r="F15" s="21" t="str">
        <x:v>Beginner</x:v>
      </x:c>
      <x:c r="G15" s="21" t="str">
        <x:v>Electric Current and Its Effects • Effects of Current</x:v>
      </x:c>
      <x:c r="H15" s="21" t="str">
        <x:v>Heating Effect of Current • Heating Effect and Electric Power</x:v>
      </x:c>
    </x:row>
    <x:row r="16">
      <x:c r="A16" s="22" t="n">
        <x:v>12</x:v>
      </x:c>
      <x:c r="B16" s="21" t="str">
        <x:v>Electricity</x:v>
      </x:c>
      <x:c r="C16" s="21" t="str">
        <x:v>Kirchhoff Circuit Rules</x:v>
      </x:c>
      <x:c r="D16" s="21" t="str">
        <x:v>kirchhoff-circuit</x:v>
      </x:c>
      <x:c r="E16" s="21" t="str">
        <x:v>Class 12</x:v>
      </x:c>
      <x:c r="F16" s="21" t="str">
        <x:v>Intermediate</x:v>
      </x:c>
      <x:c r="G16" s="21" t="str">
        <x:v>Electricity and Magnetism</x:v>
      </x:c>
      <x:c r="H16" s="21" t="str">
        <x:v>Current Electricity</x:v>
      </x:c>
    </x:row>
    <x:row r="17">
      <x:c r="A17" s="22" t="n">
        <x:v>13</x:v>
      </x:c>
      <x:c r="B17" s="21" t="str">
        <x:v>Electricity</x:v>
      </x:c>
      <x:c r="C17" s="21" t="str">
        <x:v>Meter Bridge</x:v>
      </x:c>
      <x:c r="D17" s="21" t="str">
        <x:v>meter-bridge</x:v>
      </x:c>
      <x:c r="E17" s="21" t="str">
        <x:v>Class 12</x:v>
      </x:c>
      <x:c r="F17" s="21" t="str">
        <x:v>Intermediate</x:v>
      </x:c>
      <x:c r="G17" s="21" t="str">
        <x:v>Electricity and Magnetism</x:v>
      </x:c>
      <x:c r="H17" s="21" t="str">
        <x:v>Current Electricity</x:v>
      </x:c>
    </x:row>
    <x:row r="18">
      <x:c r="A18" s="22" t="n">
        <x:v>14</x:v>
      </x:c>
      <x:c r="B18" s="21" t="str">
        <x:v>Electricity</x:v>
      </x:c>
      <x:c r="C18" s="21" t="str">
        <x:v>Ohm's Law V-I Graph</x:v>
      </x:c>
      <x:c r="D18" s="21" t="str">
        <x:v>ohms-law</x:v>
      </x:c>
      <x:c r="E18" s="21" t="str">
        <x:v>Class 10 / Class 12</x:v>
      </x:c>
      <x:c r="F18" s="21" t="str">
        <x:v>Beginner</x:v>
      </x:c>
      <x:c r="G18" s="21" t="str">
        <x:v>Light, Motion, Electricity • Effects of Current • Electricity and Magnetism</x:v>
      </x:c>
      <x:c r="H18" s="21" t="str">
        <x:v>Simple Electric Circuits • Ohm's Law and V-I Graph • Current Electricity</x:v>
      </x:c>
    </x:row>
    <x:row r="19">
      <x:c r="A19" s="22" t="n">
        <x:v>15</x:v>
      </x:c>
      <x:c r="B19" s="21" t="str">
        <x:v>Electricity</x:v>
      </x:c>
      <x:c r="C19" s="21" t="str">
        <x:v>Series and Parallel Resistance</x:v>
      </x:c>
      <x:c r="D19" s="21" t="str">
        <x:v>series-parallel-resistance</x:v>
      </x:c>
      <x:c r="E19" s="21" t="str">
        <x:v>Class 10 / Class 12</x:v>
      </x:c>
      <x:c r="F19" s="21" t="str">
        <x:v>Intermediate</x:v>
      </x:c>
      <x:c r="G19" s="21" t="str">
        <x:v>Effects of Current • Electricity and Magnetism</x:v>
      </x:c>
      <x:c r="H19" s="21" t="str">
        <x:v>Series and Parallel Resistance • Current Electricity</x:v>
      </x:c>
    </x:row>
    <x:row r="20">
      <x:c r="A20" s="22" t="n">
        <x:v>16</x:v>
      </x:c>
      <x:c r="B20" s="21" t="str">
        <x:v>Electricity</x:v>
      </x:c>
      <x:c r="C20" s="21" t="str">
        <x:v>Static Electricity and Lightning</x:v>
      </x:c>
      <x:c r="D20" s="21" t="str">
        <x:v>static-electricity</x:v>
      </x:c>
      <x:c r="E20" s="21" t="str">
        <x:v>Class 8 / Class 12 foundation</x:v>
      </x:c>
      <x:c r="F20" s="21" t="str">
        <x:v>Beginner</x:v>
      </x:c>
      <x:c r="G20" s="21" t="str">
        <x:v>Electricity and Natural Phenomena • Electricity and Magnetism</x:v>
      </x:c>
      <x:c r="H20" s="21" t="str">
        <x:v>Static Electricity and Lightning • Electric Charges, Fields, Potential, and Capacitance</x:v>
      </x:c>
    </x:row>
    <x:row r="21">
      <x:c r="A21" s="22" t="n">
        <x:v>17</x:v>
      </x:c>
      <x:c r="B21" s="21" t="str">
        <x:v>Electricity</x:v>
      </x:c>
      <x:c r="C21" s="21" t="str">
        <x:v>Transformer Lab</x:v>
      </x:c>
      <x:c r="D21" s="21" t="str">
        <x:v>transformer-lab</x:v>
      </x:c>
      <x:c r="E21" s="21" t="str">
        <x:v>Class 12</x:v>
      </x:c>
      <x:c r="F21" s="21" t="str">
        <x:v>Intermediate</x:v>
      </x:c>
      <x:c r="G21" s="21" t="str">
        <x:v>Electricity and Magnetism</x:v>
      </x:c>
      <x:c r="H21" s="21" t="str">
        <x:v>EMI and Alternating Current</x:v>
      </x:c>
    </x:row>
    <x:row r="22">
      <x:c r="A22" s="22" t="n">
        <x:v>18</x:v>
      </x:c>
      <x:c r="B22" s="21" t="str">
        <x:v>Electronics</x:v>
      </x:c>
      <x:c r="C22" s="21" t="str">
        <x:v>Logic Gates</x:v>
      </x:c>
      <x:c r="D22" s="21" t="str">
        <x:v>logic-gates</x:v>
      </x:c>
      <x:c r="E22" s="21" t="str">
        <x:v>Class 12</x:v>
      </x:c>
      <x:c r="F22" s="21" t="str">
        <x:v>Beginner</x:v>
      </x:c>
      <x:c r="G22" s="21" t="str">
        <x:v>Optics and Modern Physics • Advanced Physics • Research Lanes</x:v>
      </x:c>
      <x:c r="H22" s="21" t="str">
        <x:v>Semiconductor Electronics • Condensed Matter • Quantum Information</x:v>
      </x:c>
    </x:row>
    <x:row r="23">
      <x:c r="A23" s="22" t="n">
        <x:v>19</x:v>
      </x:c>
      <x:c r="B23" s="21" t="str">
        <x:v>Electronics</x:v>
      </x:c>
      <x:c r="C23" s="21" t="str">
        <x:v>Semiconductor Diode and Rectifier</x:v>
      </x:c>
      <x:c r="D23" s="21" t="str">
        <x:v>semiconductor-diode</x:v>
      </x:c>
      <x:c r="E23" s="21" t="str">
        <x:v>Class 12</x:v>
      </x:c>
      <x:c r="F23" s="21" t="str">
        <x:v>Intermediate</x:v>
      </x:c>
      <x:c r="G23" s="21" t="str">
        <x:v>Optics and Modern Physics • Advanced Physics • Research Lanes</x:v>
      </x:c>
      <x:c r="H23" s="21" t="str">
        <x:v>Semiconductor Electronics • Condensed Matter • Materials and Devices</x:v>
      </x:c>
    </x:row>
    <x:row r="24">
      <x:c r="A24" s="22" t="n">
        <x:v>20</x:v>
      </x:c>
      <x:c r="B24" s="21" t="str">
        <x:v>Energy</x:v>
      </x:c>
      <x:c r="C24" s="21" t="str">
        <x:v>Sources of Energy Comparator</x:v>
      </x:c>
      <x:c r="D24" s="21" t="str">
        <x:v>sources-of-energy</x:v>
      </x:c>
      <x:c r="E24" s="21" t="str">
        <x:v>Class 10</x:v>
      </x:c>
      <x:c r="F24" s="21" t="str">
        <x:v>Beginner</x:v>
      </x:c>
      <x:c r="G24" s="21" t="str">
        <x:v>Sources of Energy</x:v>
      </x:c>
      <x:c r="H24" s="21" t="str">
        <x:v>Conventional and Renewable Energy Sources</x:v>
      </x:c>
    </x:row>
    <x:row r="25">
      <x:c r="A25" s="22" t="n">
        <x:v>21</x:v>
      </x:c>
      <x:c r="B25" s="21" t="str">
        <x:v>Fluid Mechanics</x:v>
      </x:c>
      <x:c r="C25" s="21" t="str">
        <x:v>Bernoulli Fluid Flow</x:v>
      </x:c>
      <x:c r="D25" s="21" t="str">
        <x:v>bernoulli-fluid-flow</x:v>
      </x:c>
      <x:c r="E25" s="21" t="str">
        <x:v>Class 11</x:v>
      </x:c>
      <x:c r="F25" s="21" t="str">
        <x:v>Intermediate</x:v>
      </x:c>
      <x:c r="G25" s="21" t="str">
        <x:v>Matter, Thermal Physics, Oscillations, and Waves</x:v>
      </x:c>
      <x:c r="H25" s="21" t="str">
        <x:v>Solids and Fluids</x:v>
      </x:c>
    </x:row>
    <x:row r="26">
      <x:c r="A26" s="22" t="n">
        <x:v>22</x:v>
      </x:c>
      <x:c r="B26" s="21" t="str">
        <x:v>Fluid Mechanics</x:v>
      </x:c>
      <x:c r="C26" s="21" t="str">
        <x:v>Buoyancy</x:v>
      </x:c>
      <x:c r="D26" s="21" t="str">
        <x:v>buoyancy</x:v>
      </x:c>
      <x:c r="E26" s="21" t="str">
        <x:v>High school / undergraduate foundation</x:v>
      </x:c>
      <x:c r="F26" s="21" t="str">
        <x:v>Beginner</x:v>
      </x:c>
      <x:c r="G26" s="21" t="str">
        <x:v>Motion, Force, and Work • Matter, Thermal Physics, Oscillations, and Waves</x:v>
      </x:c>
      <x:c r="H26" s="21" t="str">
        <x:v>Floatation and Buoyancy • Solids and Fluids</x:v>
      </x:c>
    </x:row>
    <x:row r="27">
      <x:c r="A27" s="22" t="n">
        <x:v>23</x:v>
      </x:c>
      <x:c r="B27" s="21" t="str">
        <x:v>Fluid Mechanics</x:v>
      </x:c>
      <x:c r="C27" s="21" t="str">
        <x:v>Density Float-or-Sink Tank</x:v>
      </x:c>
      <x:c r="D27" s="21" t="str">
        <x:v>density-float-sink</x:v>
      </x:c>
      <x:c r="E27" s="21" t="str">
        <x:v>Class 8 / Class 9 / Class 11</x:v>
      </x:c>
      <x:c r="F27" s="21" t="str">
        <x:v>Beginner</x:v>
      </x:c>
      <x:c r="G27" s="21" t="str">
        <x:v>Unmapped</x:v>
      </x:c>
      <x:c r="H27" s="21" t="str">
        <x:v>Unmapped</x:v>
      </x:c>
    </x:row>
    <x:row r="28">
      <x:c r="A28" s="22" t="n">
        <x:v>24</x:v>
      </x:c>
      <x:c r="B28" s="21" t="str">
        <x:v>Fluid Mechanics</x:v>
      </x:c>
      <x:c r="C28" s="21" t="str">
        <x:v>Fluid Pressure with Depth</x:v>
      </x:c>
      <x:c r="D28" s="21" t="str">
        <x:v>fluid-pressure</x:v>
      </x:c>
      <x:c r="E28" s="21" t="str">
        <x:v>Class 8 / Class 11</x:v>
      </x:c>
      <x:c r="F28" s="21" t="str">
        <x:v>Beginner</x:v>
      </x:c>
      <x:c r="G28" s="21" t="str">
        <x:v>Force and Pressure • Matter, Thermal Physics, Oscillations, and Waves</x:v>
      </x:c>
      <x:c r="H28" s="21" t="str">
        <x:v>Pressure in Solids and Fluids • Solids and Fluids</x:v>
      </x:c>
    </x:row>
    <x:row r="29">
      <x:c r="A29" s="22" t="n">
        <x:v>25</x:v>
      </x:c>
      <x:c r="B29" s="21" t="str">
        <x:v>Fluid Mechanics</x:v>
      </x:c>
      <x:c r="C29" s="21" t="str">
        <x:v>Force and Pressure</x:v>
      </x:c>
      <x:c r="D29" s="21" t="str">
        <x:v>force-and-pressure</x:v>
      </x:c>
      <x:c r="E29" s="21" t="str">
        <x:v>Class 8</x:v>
      </x:c>
      <x:c r="F29" s="21" t="str">
        <x:v>Beginner</x:v>
      </x:c>
      <x:c r="G29" s="21" t="str">
        <x:v>Force and Pressure</x:v>
      </x:c>
      <x:c r="H29" s="21" t="str">
        <x:v>Effects of Force • Pressure in Solids and Fluids</x:v>
      </x:c>
    </x:row>
    <x:row r="30">
      <x:c r="A30" s="22" t="n">
        <x:v>26</x:v>
      </x:c>
      <x:c r="B30" s="21" t="str">
        <x:v>Magnetism</x:v>
      </x:c>
      <x:c r="C30" s="21" t="str">
        <x:v>Electromagnet</x:v>
      </x:c>
      <x:c r="D30" s="21" t="str">
        <x:v>electromagnet</x:v>
      </x:c>
      <x:c r="E30" s="21" t="str">
        <x:v>Class 7 / Class 10</x:v>
      </x:c>
      <x:c r="F30" s="21" t="str">
        <x:v>Beginner</x:v>
      </x:c>
      <x:c r="G30" s="21" t="str">
        <x:v>Electric Current and Its Effects • Effects of Current</x:v>
      </x:c>
      <x:c r="H30" s="21" t="str">
        <x:v>Magnetic Effect and Electromagnet • Magnetic Effects of Current</x:v>
      </x:c>
    </x:row>
    <x:row r="31">
      <x:c r="A31" s="22" t="n">
        <x:v>27</x:v>
      </x:c>
      <x:c r="B31" s="21" t="str">
        <x:v>Magnetism</x:v>
      </x:c>
      <x:c r="C31" s="21" t="str">
        <x:v>Lorentz Force on Moving Charge</x:v>
      </x:c>
      <x:c r="D31" s="21" t="str">
        <x:v>lorentz-force</x:v>
      </x:c>
      <x:c r="E31" s="21" t="str">
        <x:v>Class 12</x:v>
      </x:c>
      <x:c r="F31" s="21" t="str">
        <x:v>Intermediate</x:v>
      </x:c>
      <x:c r="G31" s="21" t="str">
        <x:v>Electricity and Magnetism</x:v>
      </x:c>
      <x:c r="H31" s="21" t="str">
        <x:v>Moving Charges and Magnetism</x:v>
      </x:c>
    </x:row>
    <x:row r="32">
      <x:c r="A32" s="22" t="n">
        <x:v>28</x:v>
      </x:c>
      <x:c r="B32" s="21" t="str">
        <x:v>Magnetism</x:v>
      </x:c>
      <x:c r="C32" s="21" t="str">
        <x:v>Magnetic Field Around Current</x:v>
      </x:c>
      <x:c r="D32" s="21" t="str">
        <x:v>magnetic-field-current</x:v>
      </x:c>
      <x:c r="E32" s="21" t="str">
        <x:v>Class 10 / Class 12</x:v>
      </x:c>
      <x:c r="F32" s="21" t="str">
        <x:v>Intermediate</x:v>
      </x:c>
      <x:c r="G32" s="21" t="str">
        <x:v>Light, Motion, Electricity • Effects of Current • Electricity and Magnetism</x:v>
      </x:c>
      <x:c r="H32" s="21" t="str">
        <x:v>Magnets • Magnetic Effects of Current • Moving Charges and Magnetism</x:v>
      </x:c>
    </x:row>
    <x:row r="33">
      <x:c r="A33" s="22" t="n">
        <x:v>29</x:v>
      </x:c>
      <x:c r="B33" s="21" t="str">
        <x:v>Measurement</x:v>
      </x:c>
      <x:c r="C33" s="21" t="str">
        <x:v>Computational Physics Workflow</x:v>
      </x:c>
      <x:c r="D33" s="21" t="str">
        <x:v>computational-physics-workflow</x:v>
      </x:c>
      <x:c r="E33" s="21" t="str">
        <x:v>PhD</x:v>
      </x:c>
      <x:c r="F33" s="21" t="str">
        <x:v>Advanced</x:v>
      </x:c>
      <x:c r="G33" s="21" t="str">
        <x:v>Research Lanes</x:v>
      </x:c>
      <x:c r="H33" s="21" t="str">
        <x:v>Computational Physics</x:v>
      </x:c>
    </x:row>
    <x:row r="34">
      <x:c r="A34" s="22" t="n">
        <x:v>30</x:v>
      </x:c>
      <x:c r="B34" s="21" t="str">
        <x:v>Measurement</x:v>
      </x:c>
      <x:c r="C34" s="21" t="str">
        <x:v>Measurement, Error, and Significant Figures</x:v>
      </x:c>
      <x:c r="D34" s="21" t="str">
        <x:v>measurement-errors</x:v>
      </x:c>
      <x:c r="E34" s="21" t="str">
        <x:v>Class 11</x:v>
      </x:c>
      <x:c r="F34" s="21" t="str">
        <x:v>Beginner</x:v>
      </x:c>
      <x:c r="G34" s="21" t="str">
        <x:v>Light, Motion, Electricity • Measurement and Kinematics</x:v>
      </x:c>
      <x:c r="H34" s="21" t="str">
        <x:v>Motion and Measurement • Units, Dimensions, and Errors</x:v>
      </x:c>
    </x:row>
    <x:row r="35">
      <x:c r="A35" s="22" t="n">
        <x:v>31</x:v>
      </x:c>
      <x:c r="B35" s="21" t="str">
        <x:v>Mechanics</x:v>
      </x:c>
      <x:c r="C35" s="21" t="str">
        <x:v>Balanced and Unbalanced Forces</x:v>
      </x:c>
      <x:c r="D35" s="21" t="str">
        <x:v>balanced-unbalanced-forces</x:v>
      </x:c>
      <x:c r="E35" s="21" t="str">
        <x:v>Class 8 / Class 9</x:v>
      </x:c>
      <x:c r="F35" s="21" t="str">
        <x:v>Beginner</x:v>
      </x:c>
      <x:c r="G35" s="21" t="str">
        <x:v>Unmapped</x:v>
      </x:c>
      <x:c r="H35" s="21" t="str">
        <x:v>Unmapped</x:v>
      </x:c>
    </x:row>
    <x:row r="36">
      <x:c r="A36" s="22" t="n">
        <x:v>32</x:v>
      </x:c>
      <x:c r="B36" s="21" t="str">
        <x:v>Mechanics</x:v>
      </x:c>
      <x:c r="C36" s="21" t="str">
        <x:v>Circular Motion</x:v>
      </x:c>
      <x:c r="D36" s="21" t="str">
        <x:v>circular-motion</x:v>
      </x:c>
      <x:c r="E36" s="21" t="str">
        <x:v>High school / undergraduate foundation</x:v>
      </x:c>
      <x:c r="F36" s="21" t="str">
        <x:v>Intermediate</x:v>
      </x:c>
      <x:c r="G36" s="21" t="str">
        <x:v>Measurement and Kinematics</x:v>
      </x:c>
      <x:c r="H36" s="21" t="str">
        <x:v>Motion in a Plane</x:v>
      </x:c>
    </x:row>
    <x:row r="37">
      <x:c r="A37" s="22" t="n">
        <x:v>33</x:v>
      </x:c>
      <x:c r="B37" s="21" t="str">
        <x:v>Mechanics</x:v>
      </x:c>
      <x:c r="C37" s="21" t="str">
        <x:v>Conservation of Energy</x:v>
      </x:c>
      <x:c r="D37" s="21" t="str">
        <x:v>conservation-of-energy</x:v>
      </x:c>
      <x:c r="E37" s="21" t="str">
        <x:v>High school / undergraduate foundation</x:v>
      </x:c>
      <x:c r="F37" s="21" t="str">
        <x:v>Intermediate</x:v>
      </x:c>
      <x:c r="G37" s="21" t="str">
        <x:v>Motion, Force, and Work • Laws, Energy, Rotation, and Gravitation</x:v>
      </x:c>
      <x:c r="H37" s="21" t="str">
        <x:v>Work, Energy, and Power • Work, Energy, Power, and Collisions</x:v>
      </x:c>
    </x:row>
    <x:row r="38">
      <x:c r="A38" s="22" t="n">
        <x:v>34</x:v>
      </x:c>
      <x:c r="B38" s="21" t="str">
        <x:v>Mechanics</x:v>
      </x:c>
      <x:c r="C38" s="21" t="str">
        <x:v>Distance-Time Graph Builder</x:v>
      </x:c>
      <x:c r="D38" s="21" t="str">
        <x:v>distance-time-graph</x:v>
      </x:c>
      <x:c r="E38" s="21" t="str">
        <x:v>Class 7 / Class 9</x:v>
      </x:c>
      <x:c r="F38" s="21" t="str">
        <x:v>Beginner</x:v>
      </x:c>
      <x:c r="G38" s="21" t="str">
        <x:v>Unmapped</x:v>
      </x:c>
      <x:c r="H38" s="21" t="str">
        <x:v>Unmapped</x:v>
      </x:c>
    </x:row>
    <x:row r="39">
      <x:c r="A39" s="22" t="n">
        <x:v>35</x:v>
      </x:c>
      <x:c r="B39" s="21" t="str">
        <x:v>Mechanics</x:v>
      </x:c>
      <x:c r="C39" s="21" t="str">
        <x:v>Elastic Collision</x:v>
      </x:c>
      <x:c r="D39" s="21" t="str">
        <x:v>elastic-collision</x:v>
      </x:c>
      <x:c r="E39" s="21" t="str">
        <x:v>High school / undergraduate foundation</x:v>
      </x:c>
      <x:c r="F39" s="21" t="str">
        <x:v>Intermediate</x:v>
      </x:c>
      <x:c r="G39" s="21" t="str">
        <x:v>Motion, Force, and Work • Laws, Energy, Rotation, and Gravitation</x:v>
      </x:c>
      <x:c r="H39" s="21" t="str">
        <x:v>Force and Newton's Laws • Laws of Motion • Work, Energy, Power, and Collisions</x:v>
      </x:c>
    </x:row>
    <x:row r="40">
      <x:c r="A40" s="22" t="n">
        <x:v>36</x:v>
      </x:c>
      <x:c r="B40" s="21" t="str">
        <x:v>Mechanics</x:v>
      </x:c>
      <x:c r="C40" s="21" t="str">
        <x:v>Free Fall</x:v>
      </x:c>
      <x:c r="D40" s="21" t="str">
        <x:v>free-fall</x:v>
      </x:c>
      <x:c r="E40" s="21" t="str">
        <x:v>Class 9 / Class 11</x:v>
      </x:c>
      <x:c r="F40" s="21" t="str">
        <x:v>Beginner</x:v>
      </x:c>
      <x:c r="G40" s="21" t="str">
        <x:v>Motion, Force, and Work • Measurement and Kinematics</x:v>
      </x:c>
      <x:c r="H40" s="21" t="str">
        <x:v>Gravitation and Free Fall • Motion in a Straight Line</x:v>
      </x:c>
    </x:row>
    <x:row r="41">
      <x:c r="A41" s="22" t="n">
        <x:v>37</x:v>
      </x:c>
      <x:c r="B41" s="21" t="str">
        <x:v>Mechanics</x:v>
      </x:c>
      <x:c r="C41" s="21" t="str">
        <x:v>Friction</x:v>
      </x:c>
      <x:c r="D41" s="21" t="str">
        <x:v>friction</x:v>
      </x:c>
      <x:c r="E41" s="21" t="str">
        <x:v>High school / undergraduate foundation</x:v>
      </x:c>
      <x:c r="F41" s="21" t="str">
        <x:v>Beginner</x:v>
      </x:c>
      <x:c r="G41" s="21" t="str">
        <x:v>Friction, Sound, and Light • Laws, Energy, Rotation, and Gravitation</x:v>
      </x:c>
      <x:c r="H41" s="21" t="str">
        <x:v>Friction • Laws of Motion</x:v>
      </x:c>
    </x:row>
    <x:row r="42">
      <x:c r="A42" s="22" t="n">
        <x:v>38</x:v>
      </x:c>
      <x:c r="B42" s="21" t="str">
        <x:v>Mechanics</x:v>
      </x:c>
      <x:c r="C42" s="21" t="str">
        <x:v>Hooke's Law</x:v>
      </x:c>
      <x:c r="D42" s="21" t="str">
        <x:v>hooke-s-law</x:v>
      </x:c>
      <x:c r="E42" s="21" t="str">
        <x:v>High school / undergraduate foundation</x:v>
      </x:c>
      <x:c r="F42" s="21" t="str">
        <x:v>Intermediate</x:v>
      </x:c>
      <x:c r="G42" s="21" t="str">
        <x:v>Matter, Thermal Physics, Oscillations, and Waves</x:v>
      </x:c>
      <x:c r="H42" s="21" t="str">
        <x:v>Solids and Fluids</x:v>
      </x:c>
    </x:row>
    <x:row r="43">
      <x:c r="A43" s="22" t="n">
        <x:v>39</x:v>
      </x:c>
      <x:c r="B43" s="21" t="str">
        <x:v>Mechanics</x:v>
      </x:c>
      <x:c r="C43" s="21" t="str">
        <x:v>Inclined Plane</x:v>
      </x:c>
      <x:c r="D43" s="21" t="str">
        <x:v>inclined-plane</x:v>
      </x:c>
      <x:c r="E43" s="21" t="str">
        <x:v>High school / undergraduate foundation</x:v>
      </x:c>
      <x:c r="F43" s="21" t="str">
        <x:v>Intermediate</x:v>
      </x:c>
      <x:c r="G43" s="21" t="str">
        <x:v>Friction, Sound, and Light • Motion, Force, and Work</x:v>
      </x:c>
      <x:c r="H43" s="21" t="str">
        <x:v>Friction • Work, Energy, and Power</x:v>
      </x:c>
    </x:row>
    <x:row r="44">
      <x:c r="A44" s="22" t="n">
        <x:v>40</x:v>
      </x:c>
      <x:c r="B44" s="21" t="str">
        <x:v>Mechanics</x:v>
      </x:c>
      <x:c r="C44" s="21" t="str">
        <x:v>Mass and Weight</x:v>
      </x:c>
      <x:c r="D44" s="21" t="str">
        <x:v>mass-and-weight</x:v>
      </x:c>
      <x:c r="E44" s="21" t="str">
        <x:v>Class 9</x:v>
      </x:c>
      <x:c r="F44" s="21" t="str">
        <x:v>Beginner</x:v>
      </x:c>
      <x:c r="G44" s="21" t="str">
        <x:v>Motion, Force, and Work</x:v>
      </x:c>
      <x:c r="H44" s="21" t="str">
        <x:v>Gravitation and Free Fall</x:v>
      </x:c>
    </x:row>
    <x:row r="45">
      <x:c r="A45" s="22" t="n">
        <x:v>41</x:v>
      </x:c>
      <x:c r="B45" s="21" t="str">
        <x:v>Mechanics</x:v>
      </x:c>
      <x:c r="C45" s="21" t="str">
        <x:v>Newton's Second Law</x:v>
      </x:c>
      <x:c r="D45" s="21" t="str">
        <x:v>newton-s-second-law</x:v>
      </x:c>
      <x:c r="E45" s="21" t="str">
        <x:v>High school / undergraduate foundation</x:v>
      </x:c>
      <x:c r="F45" s="21" t="str">
        <x:v>Beginner</x:v>
      </x:c>
      <x:c r="G45" s="21" t="str">
        <x:v>Force and Pressure • Motion, Force, and Work • Laws, Energy, Rotation, and Gravitation</x:v>
      </x:c>
      <x:c r="H45" s="21" t="str">
        <x:v>Effects of Force • Force and Newton's Laws • Laws of Motion</x:v>
      </x:c>
    </x:row>
    <x:row r="46">
      <x:c r="A46" s="22" t="n">
        <x:v>42</x:v>
      </x:c>
      <x:c r="B46" s="21" t="str">
        <x:v>Mechanics</x:v>
      </x:c>
      <x:c r="C46" s="21" t="str">
        <x:v>Projectile Motion</x:v>
      </x:c>
      <x:c r="D46" s="21" t="str">
        <x:v>projectile-motion</x:v>
      </x:c>
      <x:c r="E46" s="21" t="str">
        <x:v>Class 11 / Intro Engineering</x:v>
      </x:c>
      <x:c r="F46" s="21" t="str">
        <x:v>Beginner</x:v>
      </x:c>
      <x:c r="G46" s="21" t="str">
        <x:v>Measurement and Kinematics</x:v>
      </x:c>
      <x:c r="H46" s="21" t="str">
        <x:v>Motion in a Plane</x:v>
      </x:c>
    </x:row>
    <x:row r="47">
      <x:c r="A47" s="22" t="n">
        <x:v>43</x:v>
      </x:c>
      <x:c r="B47" s="21" t="str">
        <x:v>Mechanics</x:v>
      </x:c>
      <x:c r="C47" s="21" t="str">
        <x:v>Rotational Dynamics</x:v>
      </x:c>
      <x:c r="D47" s="21" t="str">
        <x:v>rotational-dynamics</x:v>
      </x:c>
      <x:c r="E47" s="21" t="str">
        <x:v>Class 11</x:v>
      </x:c>
      <x:c r="F47" s="21" t="str">
        <x:v>Intermediate</x:v>
      </x:c>
      <x:c r="G47" s="21" t="str">
        <x:v>Laws, Energy, Rotation, and Gravitation • Core Physics</x:v>
      </x:c>
      <x:c r="H47" s="21" t="str">
        <x:v>Rotational Motion • Analytical Mechanics</x:v>
      </x:c>
    </x:row>
    <x:row r="48">
      <x:c r="A48" s="22" t="n">
        <x:v>44</x:v>
      </x:c>
      <x:c r="B48" s="21" t="str">
        <x:v>Mechanics</x:v>
      </x:c>
      <x:c r="C48" s="21" t="str">
        <x:v>Simple Pendulum</x:v>
      </x:c>
      <x:c r="D48" s="21" t="str">
        <x:v>simple-pendulum</x:v>
      </x:c>
      <x:c r="E48" s="21" t="str">
        <x:v>High school / undergraduate foundation</x:v>
      </x:c>
      <x:c r="F48" s="21" t="str">
        <x:v>Intermediate</x:v>
      </x:c>
      <x:c r="G48" s="21" t="str">
        <x:v>Motion, Force, and Work • Matter, Thermal Physics, Oscillations, and Waves • Core Physics • Research Lanes</x:v>
      </x:c>
      <x:c r="H48" s="21" t="str">
        <x:v>Pendulum and Periodic Motion • Oscillations and Waves • Simple Harmonic Motion - Pendulum and Spring • Analytical Mechanics • Biophysics and Complex Systems</x:v>
      </x:c>
    </x:row>
    <x:row r="49">
      <x:c r="A49" s="22" t="n">
        <x:v>45</x:v>
      </x:c>
      <x:c r="B49" s="21" t="str">
        <x:v>Mechanics</x:v>
      </x:c>
      <x:c r="C49" s="21" t="str">
        <x:v>Uniform Motion</x:v>
      </x:c>
      <x:c r="D49" s="21" t="str">
        <x:v>uniform-motion</x:v>
      </x:c>
      <x:c r="E49" s="21" t="str">
        <x:v>High school / undergraduate foundation</x:v>
      </x:c>
      <x:c r="F49" s="21" t="str">
        <x:v>Beginner</x:v>
      </x:c>
      <x:c r="G49" s="21" t="str">
        <x:v>Light, Motion, Electricity • Motion and Time • Motion, Force, and Work • Measurement and Kinematics</x:v>
      </x:c>
      <x:c r="H49" s="21" t="str">
        <x:v>Motion and Measurement • Speed, Distance, and Time • Distance-Time Graphs • Motion in One Dimension • Motion in a Straight Line</x:v>
      </x:c>
    </x:row>
    <x:row r="50">
      <x:c r="A50" s="22" t="n">
        <x:v>46</x:v>
      </x:c>
      <x:c r="B50" s="21" t="str">
        <x:v>Mechanics</x:v>
      </x:c>
      <x:c r="C50" s="21" t="str">
        <x:v>Vector Resolution</x:v>
      </x:c>
      <x:c r="D50" s="21" t="str">
        <x:v>vector-resolution</x:v>
      </x:c>
      <x:c r="E50" s="21" t="str">
        <x:v>Class 11</x:v>
      </x:c>
      <x:c r="F50" s="21" t="str">
        <x:v>Intermediate</x:v>
      </x:c>
      <x:c r="G50" s="21" t="str">
        <x:v>Measurement and Kinematics</x:v>
      </x:c>
      <x:c r="H50" s="21" t="str">
        <x:v>Motion in a Plane</x:v>
      </x:c>
    </x:row>
    <x:row r="51">
      <x:c r="A51" s="22" t="n">
        <x:v>47</x:v>
      </x:c>
      <x:c r="B51" s="21" t="str">
        <x:v>Mechanics</x:v>
      </x:c>
      <x:c r="C51" s="21" t="str">
        <x:v>Work and Power</x:v>
      </x:c>
      <x:c r="D51" s="21" t="str">
        <x:v>work-power</x:v>
      </x:c>
      <x:c r="E51" s="21" t="str">
        <x:v>Class 9 / Class 11</x:v>
      </x:c>
      <x:c r="F51" s="21" t="str">
        <x:v>Beginner</x:v>
      </x:c>
      <x:c r="G51" s="21" t="str">
        <x:v>Motion, Force, and Work</x:v>
      </x:c>
      <x:c r="H51" s="21" t="str">
        <x:v>Work, Energy, and Power</x:v>
      </x:c>
    </x:row>
    <x:row r="52">
      <x:c r="A52" s="22" t="n">
        <x:v>48</x:v>
      </x:c>
      <x:c r="B52" s="21" t="str">
        <x:v>Modern Physics</x:v>
      </x:c>
      <x:c r="C52" s="21" t="str">
        <x:v>Advanced Quantum Operators</x:v>
      </x:c>
      <x:c r="D52" s="21" t="str">
        <x:v>advanced-quantum-operators</x:v>
      </x:c>
      <x:c r="E52" s="21" t="str">
        <x:v>Postgraduate</x:v>
      </x:c>
      <x:c r="F52" s="21" t="str">
        <x:v>Advanced</x:v>
      </x:c>
      <x:c r="G52" s="21" t="str">
        <x:v>Advanced Physics</x:v>
      </x:c>
      <x:c r="H52" s="21" t="str">
        <x:v>Advanced Quantum Mechanics</x:v>
      </x:c>
    </x:row>
    <x:row r="53">
      <x:c r="A53" s="22" t="n">
        <x:v>49</x:v>
      </x:c>
      <x:c r="B53" s="21" t="str">
        <x:v>Modern Physics</x:v>
      </x:c>
      <x:c r="C53" s="21" t="str">
        <x:v>Bohr Atom Transitions</x:v>
      </x:c>
      <x:c r="D53" s="21" t="str">
        <x:v>bohr-model</x:v>
      </x:c>
      <x:c r="E53" s="21" t="str">
        <x:v>Class 12</x:v>
      </x:c>
      <x:c r="F53" s="21" t="str">
        <x:v>Intermediate</x:v>
      </x:c>
      <x:c r="G53" s="21" t="str">
        <x:v>Optics and Modern Physics • Core Physics • Research Lanes</x:v>
      </x:c>
      <x:c r="H53" s="21" t="str">
        <x:v>Dual Nature, Atoms, and Nuclei • Quantum Mechanics • Quantum Information</x:v>
      </x:c>
    </x:row>
    <x:row r="54">
      <x:c r="A54" s="22" t="n">
        <x:v>50</x:v>
      </x:c>
      <x:c r="B54" s="21" t="str">
        <x:v>Modern Physics</x:v>
      </x:c>
      <x:c r="C54" s="21" t="str">
        <x:v>de Broglie Wavelength</x:v>
      </x:c>
      <x:c r="D54" s="21" t="str">
        <x:v>de-broglie-wavelength</x:v>
      </x:c>
      <x:c r="E54" s="21" t="str">
        <x:v>Class 12</x:v>
      </x:c>
      <x:c r="F54" s="21" t="str">
        <x:v>Intermediate</x:v>
      </x:c>
      <x:c r="G54" s="21" t="str">
        <x:v>Optics and Modern Physics • Core Physics</x:v>
      </x:c>
      <x:c r="H54" s="21" t="str">
        <x:v>Dual Nature, Atoms, and Nuclei • Quantum Mechanics</x:v>
      </x:c>
    </x:row>
    <x:row r="55">
      <x:c r="A55" s="22" t="n">
        <x:v>51</x:v>
      </x:c>
      <x:c r="B55" s="21" t="str">
        <x:v>Modern Physics</x:v>
      </x:c>
      <x:c r="C55" s="21" t="str">
        <x:v>Nuclear Decay and Half-Life</x:v>
      </x:c>
      <x:c r="D55" s="21" t="str">
        <x:v>nuclear-decay</x:v>
      </x:c>
      <x:c r="E55" s="21" t="str">
        <x:v>Class 12</x:v>
      </x:c>
      <x:c r="F55" s="21" t="str">
        <x:v>Intermediate</x:v>
      </x:c>
      <x:c r="G55" s="21" t="str">
        <x:v>Optics and Modern Physics • Advanced Physics • Research Lanes</x:v>
      </x:c>
      <x:c r="H55" s="21" t="str">
        <x:v>Dual Nature, Atoms, and Nuclei • Nuclear and Particle Physics • High Energy and Cosmology</x:v>
      </x:c>
    </x:row>
    <x:row r="56">
      <x:c r="A56" s="22" t="n">
        <x:v>52</x:v>
      </x:c>
      <x:c r="B56" s="21" t="str">
        <x:v>Modern Physics</x:v>
      </x:c>
      <x:c r="C56" s="21" t="str">
        <x:v>Photoelectric Equation</x:v>
      </x:c>
      <x:c r="D56" s="21" t="str">
        <x:v>photoelectric-equation</x:v>
      </x:c>
      <x:c r="E56" s="21" t="str">
        <x:v>Class 12</x:v>
      </x:c>
      <x:c r="F56" s="21" t="str">
        <x:v>Intermediate</x:v>
      </x:c>
      <x:c r="G56" s="21" t="str">
        <x:v>Optics and Modern Physics • Core Physics</x:v>
      </x:c>
      <x:c r="H56" s="21" t="str">
        <x:v>Dual Nature, Atoms, and Nuclei • Quantum Mechanics</x:v>
      </x:c>
    </x:row>
    <x:row r="57">
      <x:c r="A57" s="22" t="n">
        <x:v>53</x:v>
      </x:c>
      <x:c r="B57" s="21" t="str">
        <x:v>Modern Physics</x:v>
      </x:c>
      <x:c r="C57" s="21" t="str">
        <x:v>Special Relativity Bridge</x:v>
      </x:c>
      <x:c r="D57" s="21" t="str">
        <x:v>special-relativity-bridge</x:v>
      </x:c>
      <x:c r="E57" s="21" t="str">
        <x:v>Class 12 / IB HL bridge</x:v>
      </x:c>
      <x:c r="F57" s="21" t="str">
        <x:v>Advanced</x:v>
      </x:c>
      <x:c r="G57" s="21" t="str">
        <x:v>Optics and Modern Physics</x:v>
      </x:c>
      <x:c r="H57" s="21" t="str">
        <x:v>Special Relativity Bridge</x:v>
      </x:c>
    </x:row>
    <x:row r="58">
      <x:c r="A58" s="22" t="n">
        <x:v>54</x:v>
      </x:c>
      <x:c r="B58" s="21" t="str">
        <x:v>Optics</x:v>
      </x:c>
      <x:c r="C58" s="21" t="str">
        <x:v>Glass Slab Refraction</x:v>
      </x:c>
      <x:c r="D58" s="21" t="str">
        <x:v>glass-slab-refraction</x:v>
      </x:c>
      <x:c r="E58" s="21" t="str">
        <x:v>Class 10</x:v>
      </x:c>
      <x:c r="F58" s="21" t="str">
        <x:v>Intermediate</x:v>
      </x:c>
      <x:c r="G58" s="21" t="str">
        <x:v>Natural Phenomena • Optics and Modern Physics</x:v>
      </x:c>
      <x:c r="H58" s="21" t="str">
        <x:v>Glass Slab and Prism • Ray Optics and Instruments</x:v>
      </x:c>
    </x:row>
    <x:row r="59">
      <x:c r="A59" s="22" t="n">
        <x:v>55</x:v>
      </x:c>
      <x:c r="B59" s="21" t="str">
        <x:v>Optics</x:v>
      </x:c>
      <x:c r="C59" s="21" t="str">
        <x:v>Human Eye and Vision Defects</x:v>
      </x:c>
      <x:c r="D59" s="21" t="str">
        <x:v>human-eye-defects</x:v>
      </x:c>
      <x:c r="E59" s="21" t="str">
        <x:v>Class 10</x:v>
      </x:c>
      <x:c r="F59" s="21" t="str">
        <x:v>Beginner</x:v>
      </x:c>
      <x:c r="G59" s="21" t="str">
        <x:v>Natural Phenomena</x:v>
      </x:c>
      <x:c r="H59" s="21" t="str">
        <x:v>Human Eye and Defects</x:v>
      </x:c>
    </x:row>
    <x:row r="60">
      <x:c r="A60" s="22" t="n">
        <x:v>56</x:v>
      </x:c>
      <x:c r="B60" s="21" t="str">
        <x:v>Optics</x:v>
      </x:c>
      <x:c r="C60" s="21" t="str">
        <x:v>Lens Formula</x:v>
      </x:c>
      <x:c r="D60" s="21" t="str">
        <x:v>lens-formula</x:v>
      </x:c>
      <x:c r="E60" s="21" t="str">
        <x:v>Class 10 / Class 12</x:v>
      </x:c>
      <x:c r="F60" s="21" t="str">
        <x:v>Intermediate</x:v>
      </x:c>
      <x:c r="G60" s="21" t="str">
        <x:v>Light • Natural Phenomena • Optics and Modern Physics</x:v>
      </x:c>
      <x:c r="H60" s="21" t="str">
        <x:v>Images by Lenses • Refraction by Lenses • Ray Optics and Instruments</x:v>
      </x:c>
    </x:row>
    <x:row r="61">
      <x:c r="A61" s="22" t="n">
        <x:v>57</x:v>
      </x:c>
      <x:c r="B61" s="21" t="str">
        <x:v>Optics</x:v>
      </x:c>
      <x:c r="C61" s="21" t="str">
        <x:v>Microscope and Telescope</x:v>
      </x:c>
      <x:c r="D61" s="21" t="str">
        <x:v>optical-instruments</x:v>
      </x:c>
      <x:c r="E61" s="21" t="str">
        <x:v>Class 12</x:v>
      </x:c>
      <x:c r="F61" s="21" t="str">
        <x:v>Advanced</x:v>
      </x:c>
      <x:c r="G61" s="21" t="str">
        <x:v>Optics and Modern Physics</x:v>
      </x:c>
      <x:c r="H61" s="21" t="str">
        <x:v>Ray Optics and Instruments</x:v>
      </x:c>
    </x:row>
    <x:row r="62">
      <x:c r="A62" s="22" t="n">
        <x:v>58</x:v>
      </x:c>
      <x:c r="B62" s="21" t="str">
        <x:v>Optics</x:v>
      </x:c>
      <x:c r="C62" s="21" t="str">
        <x:v>Mirror Formula</x:v>
      </x:c>
      <x:c r="D62" s="21" t="str">
        <x:v>mirror-formula</x:v>
      </x:c>
      <x:c r="E62" s="21" t="str">
        <x:v>Class 10</x:v>
      </x:c>
      <x:c r="F62" s="21" t="str">
        <x:v>Intermediate</x:v>
      </x:c>
      <x:c r="G62" s="21" t="str">
        <x:v>Natural Phenomena • Optics and Modern Physics</x:v>
      </x:c>
      <x:c r="H62" s="21" t="str">
        <x:v>Reflection by Spherical Mirrors • Ray Optics and Instruments</x:v>
      </x:c>
    </x:row>
    <x:row r="63">
      <x:c r="A63" s="22" t="n">
        <x:v>59</x:v>
      </x:c>
      <x:c r="B63" s="21" t="str">
        <x:v>Optics</x:v>
      </x:c>
      <x:c r="C63" s="21" t="str">
        <x:v>Multiple Reflection and Kaleidoscope</x:v>
      </x:c>
      <x:c r="D63" s="21" t="str">
        <x:v>multiple-reflection</x:v>
      </x:c>
      <x:c r="E63" s="21" t="str">
        <x:v>Class 8</x:v>
      </x:c>
      <x:c r="F63" s="21" t="str">
        <x:v>Beginner</x:v>
      </x:c>
      <x:c r="G63" s="21" t="str">
        <x:v>Friction, Sound, and Light</x:v>
      </x:c>
      <x:c r="H63" s="21" t="str">
        <x:v>Light and Multiple Reflection</x:v>
      </x:c>
    </x:row>
    <x:row r="64">
      <x:c r="A64" s="22" t="n">
        <x:v>60</x:v>
      </x:c>
      <x:c r="B64" s="21" t="str">
        <x:v>Optics</x:v>
      </x:c>
      <x:c r="C64" s="21" t="str">
        <x:v>Prism Dispersion</x:v>
      </x:c>
      <x:c r="D64" s="21" t="str">
        <x:v>prism-dispersion</x:v>
      </x:c>
      <x:c r="E64" s="21" t="str">
        <x:v>Class 10 / Class 12</x:v>
      </x:c>
      <x:c r="F64" s="21" t="str">
        <x:v>Intermediate</x:v>
      </x:c>
      <x:c r="G64" s="21" t="str">
        <x:v>Friction, Sound, and Light • Natural Phenomena • Optics and Modern Physics</x:v>
      </x:c>
      <x:c r="H64" s="21" t="str">
        <x:v>Light and Multiple Reflection • Glass Slab and Prism • Ray Optics and Instruments</x:v>
      </x:c>
    </x:row>
    <x:row r="65">
      <x:c r="A65" s="22" t="n">
        <x:v>61</x:v>
      </x:c>
      <x:c r="B65" s="21" t="str">
        <x:v>Optics</x:v>
      </x:c>
      <x:c r="C65" s="21" t="str">
        <x:v>Reflection by Plane Mirror</x:v>
      </x:c>
      <x:c r="D65" s="21" t="str">
        <x:v>reflection-plane-mirror</x:v>
      </x:c>
      <x:c r="E65" s="21" t="str">
        <x:v>Class 7 / Class 8</x:v>
      </x:c>
      <x:c r="F65" s="21" t="str">
        <x:v>Beginner</x:v>
      </x:c>
      <x:c r="G65" s="21" t="str">
        <x:v>Light, Motion, Electricity • Light • Friction, Sound, and Light</x:v>
      </x:c>
      <x:c r="H65" s="21" t="str">
        <x:v>Light, Shadows, and Reflection • Reflection by Mirrors • Light and Multiple Reflection</x:v>
      </x:c>
    </x:row>
    <x:row r="66">
      <x:c r="A66" s="22" t="n">
        <x:v>62</x:v>
      </x:c>
      <x:c r="B66" s="21" t="str">
        <x:v>Optics</x:v>
      </x:c>
      <x:c r="C66" s="21" t="str">
        <x:v>Shadows and Eclipses</x:v>
      </x:c>
      <x:c r="D66" s="21" t="str">
        <x:v>shadows-eclipses</x:v>
      </x:c>
      <x:c r="E66" s="21" t="str">
        <x:v>Class 7 / Class 8</x:v>
      </x:c>
      <x:c r="F66" s="21" t="str">
        <x:v>Beginner</x:v>
      </x:c>
      <x:c r="G66" s="21" t="str">
        <x:v>Light, Motion, Electricity • Light</x:v>
      </x:c>
      <x:c r="H66" s="21" t="str">
        <x:v>Light, Shadows, and Reflection • Reflection by Mirrors</x:v>
      </x:c>
    </x:row>
    <x:row r="67">
      <x:c r="A67" s="22" t="n">
        <x:v>63</x:v>
      </x:c>
      <x:c r="B67" s="21" t="str">
        <x:v>Optics</x:v>
      </x:c>
      <x:c r="C67" s="21" t="str">
        <x:v>Total Internal Reflection</x:v>
      </x:c>
      <x:c r="D67" s="21" t="str">
        <x:v>total-internal-reflection</x:v>
      </x:c>
      <x:c r="E67" s="21" t="str">
        <x:v>Class 12 / Class 10 enrichment</x:v>
      </x:c>
      <x:c r="F67" s="21" t="str">
        <x:v>Intermediate</x:v>
      </x:c>
      <x:c r="G67" s="21" t="str">
        <x:v>Optics and Modern Physics</x:v>
      </x:c>
      <x:c r="H67" s="21" t="str">
        <x:v>Ray Optics and Instruments</x:v>
      </x:c>
    </x:row>
    <x:row r="68">
      <x:c r="A68" s="22" t="n">
        <x:v>64</x:v>
      </x:c>
      <x:c r="B68" s="21" t="str">
        <x:v>Oscillations</x:v>
      </x:c>
      <x:c r="C68" s="21" t="str">
        <x:v>Chaotic and Coupled Oscillators</x:v>
      </x:c>
      <x:c r="D68" s="21" t="str">
        <x:v>chaotic-coupled-oscillators</x:v>
      </x:c>
      <x:c r="E68" s="21" t="str">
        <x:v>Class 11 / Undergraduate bridge</x:v>
      </x:c>
      <x:c r="F68" s="21" t="str">
        <x:v>Advanced</x:v>
      </x:c>
      <x:c r="G68" s="21" t="str">
        <x:v>Matter, Thermal Physics, Oscillations, and Waves</x:v>
      </x:c>
      <x:c r="H68" s="21" t="str">
        <x:v>Chaotic and Coupled Oscillators</x:v>
      </x:c>
    </x:row>
    <x:row r="69">
      <x:c r="A69" s="22" t="n">
        <x:v>65</x:v>
      </x:c>
      <x:c r="B69" s="21" t="str">
        <x:v>Thermodynamics</x:v>
      </x:c>
      <x:c r="C69" s="21" t="str">
        <x:v>Calorimetry Mixing Lab</x:v>
      </x:c>
      <x:c r="D69" s="21" t="str">
        <x:v>calorimetry-mixing</x:v>
      </x:c>
      <x:c r="E69" s="21" t="str">
        <x:v>Class 11 / Class 7 enrichment</x:v>
      </x:c>
      <x:c r="F69" s="21" t="str">
        <x:v>Intermediate</x:v>
      </x:c>
      <x:c r="G69" s="21" t="str">
        <x:v>Unmapped</x:v>
      </x:c>
      <x:c r="H69" s="21" t="str">
        <x:v>Unmapped</x:v>
      </x:c>
    </x:row>
    <x:row r="70">
      <x:c r="A70" s="22" t="n">
        <x:v>66</x:v>
      </x:c>
      <x:c r="B70" s="21" t="str">
        <x:v>Thermodynamics</x:v>
      </x:c>
      <x:c r="C70" s="21" t="str">
        <x:v>Gas Laws and Kinetic Theory</x:v>
      </x:c>
      <x:c r="D70" s="21" t="str">
        <x:v>gas-laws</x:v>
      </x:c>
      <x:c r="E70" s="21" t="str">
        <x:v>Class 11</x:v>
      </x:c>
      <x:c r="F70" s="21" t="str">
        <x:v>Intermediate</x:v>
      </x:c>
      <x:c r="G70" s="21" t="str">
        <x:v>Matter, Thermal Physics, Oscillations, and Waves • Core Physics • Research Lanes</x:v>
      </x:c>
      <x:c r="H70" s="21" t="str">
        <x:v>Thermal Properties and Thermodynamics • Kinetic Theory • Statistical and Thermal Physics • Biophysics and Complex Systems</x:v>
      </x:c>
    </x:row>
    <x:row r="71">
      <x:c r="A71" s="22" t="n">
        <x:v>67</x:v>
      </x:c>
      <x:c r="B71" s="21" t="str">
        <x:v>Thermodynamics</x:v>
      </x:c>
      <x:c r="C71" s="21" t="str">
        <x:v>Heat and Temperature</x:v>
      </x:c>
      <x:c r="D71" s="21" t="str">
        <x:v>heat-and-temperature</x:v>
      </x:c>
      <x:c r="E71" s="21" t="str">
        <x:v>Class 7</x:v>
      </x:c>
      <x:c r="F71" s="21" t="str">
        <x:v>Beginner</x:v>
      </x:c>
      <x:c r="G71" s="21" t="str">
        <x:v>Heat</x:v>
      </x:c>
      <x:c r="H71" s="21" t="str">
        <x:v>Heat and Temperature</x:v>
      </x:c>
    </x:row>
    <x:row r="72">
      <x:c r="A72" s="22" t="n">
        <x:v>68</x:v>
      </x:c>
      <x:c r="B72" s="21" t="str">
        <x:v>Thermodynamics</x:v>
      </x:c>
      <x:c r="C72" s="21" t="str">
        <x:v>Heat Transfer</x:v>
      </x:c>
      <x:c r="D72" s="21" t="str">
        <x:v>heat-transfer</x:v>
      </x:c>
      <x:c r="E72" s="21" t="str">
        <x:v>Class 7 / Class 11 foundation</x:v>
      </x:c>
      <x:c r="F72" s="21" t="str">
        <x:v>Beginner</x:v>
      </x:c>
      <x:c r="G72" s="21" t="str">
        <x:v>Heat • Matter, Thermal Physics, Oscillations, and Waves • Core Physics</x:v>
      </x:c>
      <x:c r="H72" s="21" t="str">
        <x:v>Transfer of Heat • Thermal Properties and Thermodynamics • Statistical and Thermal Physics</x:v>
      </x:c>
    </x:row>
    <x:row r="73">
      <x:c r="A73" s="22" t="n">
        <x:v>69</x:v>
      </x:c>
      <x:c r="B73" s="21" t="str">
        <x:v>Thermodynamics</x:v>
      </x:c>
      <x:c r="C73" s="21" t="str">
        <x:v>Statistical Ensemble Lab</x:v>
      </x:c>
      <x:c r="D73" s="21" t="str">
        <x:v>statistical-ensemble-lab</x:v>
      </x:c>
      <x:c r="E73" s="21" t="str">
        <x:v>Postgraduate</x:v>
      </x:c>
      <x:c r="F73" s="21" t="str">
        <x:v>Advanced</x:v>
      </x:c>
      <x:c r="G73" s="21" t="str">
        <x:v>Advanced Physics</x:v>
      </x:c>
      <x:c r="H73" s="21" t="str">
        <x:v>Statistical Mechanics</x:v>
      </x:c>
    </x:row>
    <x:row r="74">
      <x:c r="A74" s="22" t="n">
        <x:v>70</x:v>
      </x:c>
      <x:c r="B74" s="21" t="str">
        <x:v>Thermodynamics</x:v>
      </x:c>
      <x:c r="C74" s="21" t="str">
        <x:v>Thermodynamic Processes</x:v>
      </x:c>
      <x:c r="D74" s="21" t="str">
        <x:v>thermodynamic-process</x:v>
      </x:c>
      <x:c r="E74" s="21" t="str">
        <x:v>Class 11</x:v>
      </x:c>
      <x:c r="F74" s="21" t="str">
        <x:v>Intermediate</x:v>
      </x:c>
      <x:c r="G74" s="21" t="str">
        <x:v>Matter, Thermal Physics, Oscillations, and Waves • Core Physics</x:v>
      </x:c>
      <x:c r="H74" s="21" t="str">
        <x:v>Thermal Properties and Thermodynamics • Statistical and Thermal Physics</x:v>
      </x:c>
    </x:row>
    <x:row r="75">
      <x:c r="A75" s="22" t="n">
        <x:v>71</x:v>
      </x:c>
      <x:c r="B75" s="21" t="str">
        <x:v>Waves</x:v>
      </x:c>
      <x:c r="C75" s="21" t="str">
        <x:v>Chladni Plate</x:v>
      </x:c>
      <x:c r="D75" s="21" t="str">
        <x:v>chladni-plate</x:v>
      </x:c>
      <x:c r="E75" s="21" t="str">
        <x:v>High school / undergraduate enrichment</x:v>
      </x:c>
      <x:c r="F75" s="21" t="str">
        <x:v>Advanced</x:v>
      </x:c>
      <x:c r="G75" s="21" t="str">
        <x:v>Friction, Sound, and Light • Matter, Thermal Physics, Oscillations, and Waves</x:v>
      </x:c>
      <x:c r="H75" s="21" t="str">
        <x:v>Sound • Oscillations and Waves • Resonance and Forced Oscillations</x:v>
      </x:c>
    </x:row>
    <x:row r="76">
      <x:c r="A76" s="22" t="n">
        <x:v>72</x:v>
      </x:c>
      <x:c r="B76" s="21" t="str">
        <x:v>Waves</x:v>
      </x:c>
      <x:c r="C76" s="21" t="str">
        <x:v>Echo and Speed of Sound</x:v>
      </x:c>
      <x:c r="D76" s="21" t="str">
        <x:v>echo-speed-sound</x:v>
      </x:c>
      <x:c r="E76" s="21" t="str">
        <x:v>Class 9</x:v>
      </x:c>
      <x:c r="F76" s="21" t="str">
        <x:v>Intermediate</x:v>
      </x:c>
      <x:c r="G76" s="21" t="str">
        <x:v>Motion, Force, and Work</x:v>
      </x:c>
      <x:c r="H76" s="21" t="str">
        <x:v>Sound</x:v>
      </x:c>
    </x:row>
    <x:row r="77">
      <x:c r="A77" s="22" t="n">
        <x:v>73</x:v>
      </x:c>
      <x:c r="B77" s="21" t="str">
        <x:v>Waves</x:v>
      </x:c>
      <x:c r="C77" s="21" t="str">
        <x:v>Electromagnetic Spectrum</x:v>
      </x:c>
      <x:c r="D77" s="21" t="str">
        <x:v>em-spectrum</x:v>
      </x:c>
      <x:c r="E77" s="21" t="str">
        <x:v>Class 12</x:v>
      </x:c>
      <x:c r="F77" s="21" t="str">
        <x:v>Intermediate</x:v>
      </x:c>
      <x:c r="G77" s="21" t="str">
        <x:v>Optics and Modern Physics • Advanced Physics</x:v>
      </x:c>
      <x:c r="H77" s="21" t="str">
        <x:v>Electromagnetic Waves • Plasma and Astrophysics</x:v>
      </x:c>
    </x:row>
    <x:row r="78">
      <x:c r="A78" s="22" t="n">
        <x:v>74</x:v>
      </x:c>
      <x:c r="B78" s="21" t="str">
        <x:v>Waves</x:v>
      </x:c>
      <x:c r="C78" s="21" t="str">
        <x:v>Longitudinal Sound Wave</x:v>
      </x:c>
      <x:c r="D78" s="21" t="str">
        <x:v>sound-wave-anatomy</x:v>
      </x:c>
      <x:c r="E78" s="21" t="str">
        <x:v>Class 8 / Class 9</x:v>
      </x:c>
      <x:c r="F78" s="21" t="str">
        <x:v>Beginner</x:v>
      </x:c>
      <x:c r="G78" s="21" t="str">
        <x:v>Motion, Force, and Work</x:v>
      </x:c>
      <x:c r="H78" s="21" t="str">
        <x:v>Sound</x:v>
      </x:c>
    </x:row>
    <x:row r="79">
      <x:c r="A79" s="22" t="n">
        <x:v>75</x:v>
      </x:c>
      <x:c r="B79" s="21" t="str">
        <x:v>Waves</x:v>
      </x:c>
      <x:c r="C79" s="21" t="str">
        <x:v>Polarization Lab</x:v>
      </x:c>
      <x:c r="D79" s="21" t="str">
        <x:v>polarization-lab</x:v>
      </x:c>
      <x:c r="E79" s="21" t="str">
        <x:v>Class 12</x:v>
      </x:c>
      <x:c r="F79" s="21" t="str">
        <x:v>Intermediate</x:v>
      </x:c>
      <x:c r="G79" s="21" t="str">
        <x:v>Optics and Modern Physics • Core Physics</x:v>
      </x:c>
      <x:c r="H79" s="21" t="str">
        <x:v>Wave Optics • Optics and Waves</x:v>
      </x:c>
    </x:row>
    <x:row r="80">
      <x:c r="A80" s="22" t="n">
        <x:v>76</x:v>
      </x:c>
      <x:c r="B80" s="21" t="str">
        <x:v>Waves</x:v>
      </x:c>
      <x:c r="C80" s="21" t="str">
        <x:v>Single Slit Diffraction</x:v>
      </x:c>
      <x:c r="D80" s="21" t="str">
        <x:v>single-slit-diffraction</x:v>
      </x:c>
      <x:c r="E80" s="21" t="str">
        <x:v>High school / undergraduate foundation</x:v>
      </x:c>
      <x:c r="F80" s="21" t="str">
        <x:v>Intermediate</x:v>
      </x:c>
      <x:c r="G80" s="21" t="str">
        <x:v>Optics and Modern Physics • Core Physics</x:v>
      </x:c>
      <x:c r="H80" s="21" t="str">
        <x:v>Wave Optics • Optics and Waves</x:v>
      </x:c>
    </x:row>
    <x:row r="81">
      <x:c r="A81" s="22" t="n">
        <x:v>77</x:v>
      </x:c>
      <x:c r="B81" s="21" t="str">
        <x:v>Waves</x:v>
      </x:c>
      <x:c r="C81" s="21" t="str">
        <x:v>Sound Pitch and Loudness</x:v>
      </x:c>
      <x:c r="D81" s="21" t="str">
        <x:v>sound-pitch-loudness</x:v>
      </x:c>
      <x:c r="E81" s="21" t="str">
        <x:v>Class 8 / Class 9</x:v>
      </x:c>
      <x:c r="F81" s="21" t="str">
        <x:v>Beginner</x:v>
      </x:c>
      <x:c r="G81" s="21" t="str">
        <x:v>Motion, Force, and Work</x:v>
      </x:c>
      <x:c r="H81" s="21" t="str">
        <x:v>Sound</x:v>
      </x:c>
    </x:row>
    <x:row r="82">
      <x:c r="A82" s="22" t="n">
        <x:v>78</x:v>
      </x:c>
      <x:c r="B82" s="21" t="str">
        <x:v>Waves</x:v>
      </x:c>
      <x:c r="C82" s="21" t="str">
        <x:v>Spring-Mass SHM</x:v>
      </x:c>
      <x:c r="D82" s="21" t="str">
        <x:v>shm-spring</x:v>
      </x:c>
      <x:c r="E82" s="21" t="str">
        <x:v>Class 11</x:v>
      </x:c>
      <x:c r="F82" s="21" t="str">
        <x:v>Intermediate</x:v>
      </x:c>
      <x:c r="G82" s="21" t="str">
        <x:v>Matter, Thermal Physics, Oscillations, and Waves</x:v>
      </x:c>
      <x:c r="H82" s="21" t="str">
        <x:v>Oscillations and Waves • Simple Harmonic Motion - Pendulum and Spring • Resonance and Forced Oscillations</x:v>
      </x:c>
    </x:row>
    <x:row r="83">
      <x:c r="A83" s="22" t="n">
        <x:v>79</x:v>
      </x:c>
      <x:c r="B83" s="21" t="str">
        <x:v>Waves</x:v>
      </x:c>
      <x:c r="C83" s="21" t="str">
        <x:v>Wave Lab</x:v>
      </x:c>
      <x:c r="D83" s="21" t="str">
        <x:v>wave-lab</x:v>
      </x:c>
      <x:c r="E83" s="21" t="str">
        <x:v>High school / undergraduate foundation</x:v>
      </x:c>
      <x:c r="F83" s="21" t="str">
        <x:v>Intermediate</x:v>
      </x:c>
      <x:c r="G83" s="21" t="str">
        <x:v>Friction, Sound, and Light • Motion, Force, and Work • Matter, Thermal Physics, Oscillations, and Waves • Optics and Modern Physics</x:v>
      </x:c>
      <x:c r="H83" s="21" t="str">
        <x:v>Sound • Oscillations and Waves • Wave Optics</x:v>
      </x:c>
    </x:row>
    <x:row r="84">
      <x:c r="A84" s="22" t="n">
        <x:v>80</x:v>
      </x:c>
      <x:c r="B84" s="21" t="str">
        <x:v>Waves</x:v>
      </x:c>
      <x:c r="C84" s="21" t="str">
        <x:v>Young's Double Slit</x:v>
      </x:c>
      <x:c r="D84" s="21" t="str">
        <x:v>young-double-slit</x:v>
      </x:c>
      <x:c r="E84" s="21" t="str">
        <x:v>Class 12</x:v>
      </x:c>
      <x:c r="F84" s="21" t="str">
        <x:v>Intermediate</x:v>
      </x:c>
      <x:c r="G84" s="21" t="str">
        <x:v>Optics and Modern Physics • Core Physics</x:v>
      </x:c>
      <x:c r="H84" s="21" t="str">
        <x:v>Wave Optics • Optics and Waves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2331c38c1d948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72" hidden="0" customWidth="1"/>
    <x:col min="3" max="3" width="24" hidden="0" customWidth="1"/>
    <x:col min="4" max="4" width="14" hidden="0" customWidth="1"/>
  </x:cols>
  <x:sheetData>
    <x:row r="1" ht="32" customHeight="1">
      <x:c r="A1" s="17" t="str">
        <x:v>Sources &amp; Scope</x:v>
      </x:c>
      <x:c r="B1" s="17"/>
      <x:c r="C1" s="17"/>
      <x:c r="D1" s="17"/>
    </x:row>
    <x:row r="2" ht="32" customHeight="1">
      <x:c r="A2" s="18" t="str">
        <x:v>Authoritative references and interpretation limits for this normalized inventory.</x:v>
      </x:c>
      <x:c r="B2" s="18"/>
      <x:c r="C2" s="18"/>
      <x:c r="D2" s="18"/>
    </x:row>
    <x:row r="3">
      <x:c r="A3" s="19"/>
      <x:c r="B3" s="19"/>
      <x:c r="C3" s="19"/>
      <x:c r="D3" s="19"/>
    </x:row>
    <x:row r="4" ht="36" customHeight="1">
      <x:c r="A4" s="20" t="str">
        <x:v>Source</x:v>
      </x:c>
      <x:c r="B4" s="20" t="str">
        <x:v>URL</x:v>
      </x:c>
      <x:c r="C4" s="20" t="str">
        <x:v>Type</x:v>
      </x:c>
      <x:c r="D4" s="20" t="str">
        <x:v>Accessed</x:v>
      </x:c>
    </x:row>
    <x:row r="5">
      <x:c r="A5" s="21" t="str">
        <x:v>NCERT NCF Foundational Stage 2022</x:v>
      </x:c>
      <x:c r="B5" s="21" t="str">
        <x:v>https://www.ncert.nic.in/pdf/NCF_for_Foundational_Stage_20_October_2022.pdf</x:v>
      </x:c>
      <x:c r="C5" s="21" t="str">
        <x:v>Official / primary source</x:v>
      </x:c>
      <x:c r="D5" s="21" t="str">
        <x:v>2026-09-03</x:v>
      </x:c>
    </x:row>
    <x:row r="6">
      <x:c r="A6" s="21" t="str">
        <x:v>NCERT NCF School Education 2023</x:v>
      </x:c>
      <x:c r="B6" s="21" t="str">
        <x:v>https://ncert.nic.in/focus-group.php?ln=en</x:v>
      </x:c>
      <x:c r="C6" s="21" t="str">
        <x:v>Official / primary source</x:v>
      </x:c>
      <x:c r="D6" s="21" t="str">
        <x:v>2026-09-03</x:v>
      </x:c>
    </x:row>
    <x:row r="7">
      <x:c r="A7" s="21" t="str">
        <x:v>CBSE Curriculum 2026-27</x:v>
      </x:c>
      <x:c r="B7" s="21" t="str">
        <x:v>https://cbseacademic.nic.in/curriculum_2027.html</x:v>
      </x:c>
      <x:c r="C7" s="21" t="str">
        <x:v>Official / primary source</x:v>
      </x:c>
      <x:c r="D7" s="21" t="str">
        <x:v>2026-09-03</x:v>
      </x:c>
    </x:row>
    <x:row r="8">
      <x:c r="A8" s="21" t="str">
        <x:v>CBSE Physics 042, Classes XI-XII, 2026-27</x:v>
      </x:c>
      <x:c r="B8" s="21" t="str">
        <x:v>https://cbseacademic.nic.in/web_material/CurriculumMain27/SecPart2/Physics_SecP2_2026-27.pdf</x:v>
      </x:c>
      <x:c r="C8" s="21" t="str">
        <x:v>Official / primary source</x:v>
      </x:c>
      <x:c r="D8" s="21" t="str">
        <x:v>2026-09-03</x:v>
      </x:c>
    </x:row>
    <x:row r="9">
      <x:c r="A9" s="21" t="str">
        <x:v>CISCE ICSE Physics, Examination Year 2027</x:v>
      </x:c>
      <x:c r="B9" s="21" t="str">
        <x:v>https://cisce.org/wp-content/uploads/2025/03/10.-Physics.pdf</x:v>
      </x:c>
      <x:c r="C9" s="21" t="str">
        <x:v>Official / primary source</x:v>
      </x:c>
      <x:c r="D9" s="21" t="str">
        <x:v>2026-09-03</x:v>
      </x:c>
    </x:row>
    <x:row r="10">
      <x:c r="A10" s="21" t="str">
        <x:v>CISCE ISC Physics, Examination Year 2027</x:v>
      </x:c>
      <x:c r="B10" s="21" t="str">
        <x:v>https://www.cisce.org/wp-content/uploads/2025/02/18.-ISC-Physics.pdf</x:v>
      </x:c>
      <x:c r="C10" s="21" t="str">
        <x:v>Official / primary source</x:v>
      </x:c>
      <x:c r="D10" s="21" t="str">
        <x:v>2026-09-03</x:v>
      </x:c>
    </x:row>
    <x:row r="11">
      <x:c r="A11" s="21" t="str">
        <x:v>Maharashtra SCERT Std. XII Physics Question Bank</x:v>
      </x:c>
      <x:c r="B11" s="21" t="str">
        <x:v>https://maa.ac.in/documents/examcontent1012/12/ExamContent_Std_12_Physics_Science.pdf</x:v>
      </x:c>
      <x:c r="C11" s="21" t="str">
        <x:v>Official / primary source</x:v>
      </x:c>
      <x:c r="D11" s="21" t="str">
        <x:v>2026-09-03</x:v>
      </x:c>
    </x:row>
    <x:row r="12">
      <x:c r="A12" s="21" t="str">
        <x:v>Kerala SCERT Curriculum 2024</x:v>
      </x:c>
      <x:c r="B12" s="21" t="str">
        <x:v>https://scert.kerala.gov.in/curriculum-2024/</x:v>
      </x:c>
      <x:c r="C12" s="21" t="str">
        <x:v>Official / primary source</x:v>
      </x:c>
      <x:c r="D12" s="21" t="str">
        <x:v>2026-09-03</x:v>
      </x:c>
    </x:row>
    <x:row r="13">
      <x:c r="A13" s="21" t="str">
        <x:v>UGC Curriculum and Credit Framework for Undergraduate Programmes</x:v>
      </x:c>
      <x:c r="B13" s="21" t="str">
        <x:v>https://www.ugc.gov.in/KeyInitiative?ID=yiPY1rgAlvz9%2F1chFf86gg%3D%3D</x:v>
      </x:c>
      <x:c r="C13" s="21" t="str">
        <x:v>Official / primary source</x:v>
      </x:c>
      <x:c r="D13" s="21" t="str">
        <x:v>2026-09-03</x:v>
      </x:c>
    </x:row>
    <x:row r="14">
      <x:c r="A14" s="21" t="str">
        <x:v>University of Delhi — Physics and Astrophysics syllabi</x:v>
      </x:c>
      <x:c r="B14" s="21" t="str">
        <x:v>https://academicaffairs.du.ac.in/syllabi/department-of-physics-and-astrophysics/</x:v>
      </x:c>
      <x:c r="C14" s="21" t="str">
        <x:v>Official / primary source</x:v>
      </x:c>
      <x:c r="D14" s="21" t="str">
        <x:v>2026-09-03</x:v>
      </x:c>
    </x:row>
    <x:row r="15">
      <x:c r="A15" s="21" t="str">
        <x:v>IISc BS Physics course structure</x:v>
      </x:c>
      <x:c r="B15" s="21" t="str">
        <x:v>https://bs-ug.iisc.ac.in/course-structure/physics?from=home</x:v>
      </x:c>
      <x:c r="C15" s="21" t="str">
        <x:v>Official / primary source</x:v>
      </x:c>
      <x:c r="D15" s="21" t="str">
        <x:v>2026-09-03</x:v>
      </x:c>
    </x:row>
    <x:row r="16">
      <x:c r="A16" s="21" t="str">
        <x:v>CSIR-UGC NET Physical Sciences syllabus</x:v>
      </x:c>
      <x:c r="B16" s="21" t="str">
        <x:v>https://www.csirhrdg.res.in/SiteContent/ManagedContent/ContentFiles/20181113115324688mcs_ph_sylbs.pdf</x:v>
      </x:c>
      <x:c r="C16" s="21" t="str">
        <x:v>Official / primary source</x:v>
      </x:c>
      <x:c r="D16" s="21" t="str">
        <x:v>2026-09-03</x:v>
      </x:c>
    </x:row>
    <x:row r="19" ht="72" customHeight="1">
      <x:c r="A19" s="39" t="str">
        <x:v>Scope: India-focused. “All universities” is not a single fixed syllabus; universities retain autonomy and revise curricula. The workbook therefore uses UGC guidance plus representative DU/IISc curricula and CSIR-NET coverage to identify broadly reusable UG–PhD gaps. State boards are represented through national-framework overlap and official Maharashtra/Kerala examples, not a claim of line-by-line coverage of every state edition.</x:v>
      </x:c>
      <x:c r="B19" s="39"/>
      <x:c r="C19" s="39"/>
      <x:c r="D19" s="39"/>
    </x:row>
  </x:sheetData>
  <x:mergeCells>
    <x:mergeCell ref="A1:D1"/>
    <x:mergeCell ref="A2:D2"/>
    <x:mergeCell ref="A19:D19"/>
  </x:mergeCells>
  <x:pageMargins left="0.7" right="0.7" top="0.75" bottom="0.75" header="0.3" footer="0.3"/>
  <x:tableParts count="1">
    <x:tablePart xmlns:r="http://schemas.openxmlformats.org/officeDocument/2006/relationships" r:id="Rc28acdc7f2314b81"/>
  </x:tableParts>
</x:worksheet>
</file>