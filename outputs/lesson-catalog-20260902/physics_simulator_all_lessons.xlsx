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c79514fe0242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fb8591b89134207"/>
    <x:sheet xmlns:r="http://schemas.openxmlformats.org/officeDocument/2006/relationships" name="All Lessons" sheetId="2" r:id="Rd49760a4e02c4c3f"/>
    <x:sheet xmlns:r="http://schemas.openxmlformats.org/officeDocument/2006/relationships" name="Curriculum Map" sheetId="3" r:id="Raddac4e551d749b5"/>
    <x:sheet xmlns:r="http://schemas.openxmlformats.org/officeDocument/2006/relationships" name="Lesson-Topic Map" sheetId="4" r:id="R4a417ffb6c6847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4748B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b/>
      <x:sz val="12"/>
      <x:color rgb="FF14213D"/>
      <x:name val="Carlito"/>
    </x:font>
    <x:font>
      <x:b/>
      <x:sz val="14"/>
      <x:color rgb="FF14213D"/>
      <x:name val="Carlito"/>
    </x:font>
    <x:font>
      <x:i/>
      <x:sz val="11"/>
      <x:color rgb="FF64748B"/>
      <x:name val="Carlito"/>
    </x:font>
    <x:font>
      <x:b/>
      <x:sz val="18"/>
      <x:color rgb="FFFFFFFF"/>
      <x:name val="Aptos"/>
    </x:font>
    <x:font>
      <x:i/>
      <x:sz val="10"/>
      <x:color rgb="FF64748B"/>
      <x:name val="Aptos"/>
    </x:font>
    <x:font>
      <x:sz val="11"/>
      <x:name val="Aptos"/>
    </x:font>
    <x:font>
      <x:b/>
      <x:sz val="12"/>
      <x:color rgb="FF14213D"/>
      <x:name val="Aptos"/>
    </x:font>
    <x:font>
      <x:b/>
      <x:sz val="11"/>
      <x:color rgb="FFFFFFFF"/>
      <x:name val="Aptos"/>
    </x:font>
    <x:font>
      <x:b/>
      <x:sz val="14"/>
      <x:color rgb="FF14213D"/>
      <x:name val="Aptos"/>
    </x:font>
    <x:font>
      <x:i/>
      <x:sz val="11"/>
      <x:color rgb="FF64748B"/>
      <x:name val="Aptos"/>
    </x:font>
    <x:font>
      <x:sz val="9"/>
      <x:color rgb="FF1F293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EAF2FF"/>
      </x:patternFill>
    </x:fill>
    <x:fill>
      <x:patternFill patternType="solid">
        <x:fgColor rgb="FF1D4ED8"/>
      </x:patternFill>
    </x:fill>
    <x:fill>
      <x:patternFill patternType="solid">
        <x:fgColor rgb="FFF59E0B"/>
      </x:patternFill>
    </x:fill>
    <x:fill>
      <x:patternFill patternType="solid">
        <x:fgColor rgb="FFFFF4D6"/>
      </x:patternFill>
    </x:fill>
  </x:fills>
  <x:borders count="4">
    <x:border/>
    <x:border>
      <x:bottom style="thin">
        <x:color rgb="FFDCE3EC"/>
      </x:bottom>
    </x:border>
    <x:border>
      <x:top style="thin">
        <x:color rgb="FFDCE3EC"/>
      </x:top>
      <x:bottom style="thin">
        <x:color rgb="FFDCE3EC"/>
      </x:bottom>
    </x:border>
    <x:border>
      <x:left style="thin">
        <x:color rgb="FFDCE3EC"/>
      </x:left>
      <x:right style="thin">
        <x:color rgb="FFDCE3EC"/>
      </x:right>
      <x:top style="thin">
        <x:color rgb="FFDCE3EC"/>
      </x:top>
      <x:bottom style="thin">
        <x:color rgb="FFDCE3EC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vertical="top" wrapText="0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top" wrapText="0"/>
    </x:xf>
    <x:xf numFmtId="200" fontId="4" fillId="0" borderId="2" xfId="0" applyNumberFormat="1" applyFont="1" applyFill="1" applyBorder="1" applyAlignment="1">
      <x:alignment vertical="top" wrapText="0"/>
    </x:xf>
    <x:xf numFmtId="0" fontId="4" fillId="0" borderId="2" xfId="0" applyNumberFormat="1" applyFont="1" applyFill="1" applyBorder="1" applyAlignment="1">
      <x:alignment horizontal="right" vertical="top" wrapText="0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/>
    <x:xf numFmtId="0" fontId="0" fillId="4" borderId="3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wrapText="1"/>
    </x:xf>
    <x:xf numFmtId="0" fontId="0" fillId="6" borderId="3" xfId="0" applyNumberFormat="1" applyFont="1" applyFill="1" applyBorder="1"/>
    <x:xf numFmtId="0" fontId="6" fillId="6" borderId="3" xfId="0" applyNumberFormat="1" applyFont="1" applyFill="1" applyBorder="1"/>
    <x:xf numFmtId="200" fontId="6" fillId="6" borderId="3" xfId="0" applyNumberFormat="1" applyFont="1" applyFill="1" applyBorder="1"/>
    <x:xf numFmtId="200" fontId="6" fillId="6" borderId="3" xfId="0" applyNumberFormat="1" applyFont="1" applyFill="1" applyBorder="1" applyAlignment="1">
      <x:alignment horizontal="right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5" borderId="0" xfId="0" applyNumberFormat="1" applyFont="1" applyFill="1" applyBorder="1" applyAlignment="1">
      <x:alignment vertical="center"/>
    </x:xf>
    <x:xf numFmtId="0" fontId="12" fillId="4" borderId="3" xfId="0" applyNumberFormat="1" applyFont="1" applyFill="1" applyBorder="1"/>
    <x:xf numFmtId="0" fontId="12" fillId="4" borderId="3" xfId="0" applyNumberFormat="1" applyFont="1" applyFill="1" applyBorder="1" applyAlignment="1">
      <x:alignment wrapText="1"/>
    </x:xf>
    <x:xf numFmtId="0" fontId="10" fillId="0" borderId="3" xfId="0" applyNumberFormat="1" applyFont="1" applyFill="1" applyBorder="1"/>
    <x:xf numFmtId="200" fontId="13" fillId="6" borderId="3" xfId="0" applyNumberFormat="1" applyFont="1" applyFill="1" applyBorder="1" applyAlignment="1">
      <x:alignment horizontal="right"/>
    </x:xf>
    <x:xf numFmtId="0" fontId="14" fillId="3" borderId="0" xfId="0" applyNumberFormat="1" applyFont="1" applyFill="1" applyBorder="1" applyAlignment="1">
      <x:alignment wrapText="1"/>
    </x:xf>
    <x:xf numFmtId="0" fontId="12" fillId="4" borderId="1" xfId="0" applyNumberFormat="1" applyFont="1" applyFill="1" applyBorder="1" applyAlignment="1">
      <x:alignment vertical="center" wrapText="1"/>
    </x:xf>
    <x:xf numFmtId="200" fontId="15" fillId="0" borderId="2" xfId="0" applyNumberFormat="1" applyFont="1" applyFill="1" applyBorder="1" applyAlignment="1">
      <x:alignment vertical="top" wrapText="0"/>
    </x:xf>
    <x:xf numFmtId="0" fontId="15" fillId="0" borderId="2" xfId="0" applyNumberFormat="1" applyFont="1" applyFill="1" applyBorder="1" applyAlignment="1">
      <x:alignment vertical="top" wrapText="0"/>
    </x:xf>
    <x:xf numFmtId="0" fontId="15" fillId="0" borderId="2" xfId="0" applyNumberFormat="1" applyFont="1" applyFill="1" applyBorder="1" applyAlignment="1">
      <x:alignment horizontal="right"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034bdc6c7b408d" /><Relationship Type="http://schemas.openxmlformats.org/officeDocument/2006/relationships/theme" Target="/xl/theme/theme1.xml" Id="Ref97904a54aa4f82" /><Relationship Type="http://schemas.openxmlformats.org/officeDocument/2006/relationships/sharedStrings" Target="/xl/sharedStrings.xml" Id="Ra759dee2c117433d" /><Relationship Type="http://schemas.openxmlformats.org/officeDocument/2006/relationships/worksheet" Target="/xl/worksheets/sheet1.xml" Id="R9fb8591b89134207" /><Relationship Type="http://schemas.openxmlformats.org/officeDocument/2006/relationships/worksheet" Target="/xl/worksheets/sheet2.xml" Id="Rd49760a4e02c4c3f" /><Relationship Type="http://schemas.openxmlformats.org/officeDocument/2006/relationships/worksheet" Target="/xl/worksheets/sheet3.xml" Id="Raddac4e551d749b5" /><Relationship Type="http://schemas.openxmlformats.org/officeDocument/2006/relationships/worksheet" Target="/xl/worksheets/sheet4.xml" Id="R4a417ffb6c684708" /></Relationships>
</file>

<file path=xl/tables/table1.xml><?xml version="1.0" encoding="utf-8"?>
<x:table xmlns:x="http://schemas.openxmlformats.org/spreadsheetml/2006/main" id="1" name="AllLessonsTable" displayName="AllLessonsTable" ref="A4:R84" headerRowCount="1" totalsRowCount="0" totalsRowShown="0">
  <x:autoFilter ref="A4:R84"/>
  <x:tableColumns count="18">
    <x:tableColumn id="1" name="Lesson ID"/>
    <x:tableColumn id="2" name="Category"/>
    <x:tableColumn id="3" name="Subcategory / Unit"/>
    <x:tableColumn id="4" name="Topic(s)"/>
    <x:tableColumn id="5" name="Lesson"/>
    <x:tableColumn id="6" name="Lesson Code"/>
    <x:tableColumn id="7" name="Class Level"/>
    <x:tableColumn id="8" name="Difficulty"/>
    <x:tableColumn id="9" name="Curriculum Domain(s)"/>
    <x:tableColumn id="10" name="Aim"/>
    <x:tableColumn id="11" name="Theory"/>
    <x:tableColumn id="12" name="Formulae"/>
    <x:tableColumn id="13" name="Apparatus"/>
    <x:tableColumn id="14" name="Expected Result"/>
    <x:tableColumn id="15" name="Readiness"/>
    <x:tableColumn id="16" name="Priority"/>
    <x:tableColumn id="17" name="Lesson Question"/>
    <x:tableColumn id="18" name="Success 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rriculumMapTable" displayName="CurriculumMapTable" ref="A4:P78" headerRowCount="1" totalsRowCount="0" totalsRowShown="0">
  <x:autoFilter ref="A4:P78"/>
  <x:tableColumns count="16">
    <x:tableColumn id="1" name="Category / Domain"/>
    <x:tableColumn id="2" name="Subcategory / Unit"/>
    <x:tableColumn id="3" name="Topic"/>
    <x:tableColumn id="4" name="Topic ID"/>
    <x:tableColumn id="5" name="Class"/>
    <x:tableColumn id="6" name="Grade"/>
    <x:tableColumn id="7" name="Unit ID"/>
    <x:tableColumn id="8" name="Marks"/>
    <x:tableColumn id="9" name="Learning Stage"/>
    <x:tableColumn id="10" name="Outcomes"/>
    <x:tableColumn id="11" name="Tools"/>
    <x:tableColumn id="12" name="Mapped Lessons"/>
    <x:tableColumn id="13" name="Numeric Lesson IDs"/>
    <x:tableColumn id="14" name="Lesson Codes"/>
    <x:tableColumn id="15" name="Curriculum Source"/>
    <x:tableColumn id="16" name="Class 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essonTopicMapTable" displayName="LessonTopicMapTable" ref="A4:O150" headerRowCount="1" totalsRowCount="0" totalsRowShown="0">
  <x:autoFilter ref="A4:O150"/>
  <x:tableColumns count="15">
    <x:tableColumn id="1" name="Lesson ID"/>
    <x:tableColumn id="2" name="Category"/>
    <x:tableColumn id="3" name="Subcategory / Unit"/>
    <x:tableColumn id="4" name="Topic"/>
    <x:tableColumn id="5" name="Lesson"/>
    <x:tableColumn id="6" name="Class"/>
    <x:tableColumn id="7" name="Grade"/>
    <x:tableColumn id="8" name="Learning Stage"/>
    <x:tableColumn id="9" name="Difficulty"/>
    <x:tableColumn id="10" name="Lesson Code"/>
    <x:tableColumn id="11" name="Topic ID"/>
    <x:tableColumn id="12" name="Unit ID"/>
    <x:tableColumn id="13" name="Readiness"/>
    <x:tableColumn id="14" name="Priority"/>
    <x:tableColumn id="15" name="Outcome(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cf658f317945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46ed79d57443f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8278c4ea604c1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4" hidden="0" customWidth="1"/>
    <x:col min="4" max="4" width="21" hidden="0" customWidth="1"/>
    <x:col min="5" max="5" width="28" hidden="0" customWidth="1"/>
    <x:col min="6" max="6" width="40" hidden="0" customWidth="1"/>
    <x:col min="7" max="7" width="12" hidden="0" customWidth="1"/>
    <x:col min="8" max="8" width="38" hidden="0" customWidth="1"/>
  </x:cols>
  <x:sheetData>
    <x:row r="1" ht="32" customHeight="1">
      <x:c r="A1" s="32" t="str">
        <x:v>Physics Simulator — Complete Lesson Inventory</x:v>
      </x:c>
      <x:c r="B1" s="32"/>
      <x:c r="C1" s="32"/>
      <x:c r="D1" s="32"/>
      <x:c r="E1" s="32"/>
      <x:c r="F1" s="32"/>
      <x:c r="G1" s="32"/>
      <x:c r="H1" s="32"/>
    </x:row>
    <x:row r="2" ht="30" customHeight="1">
      <x:c r="A2" s="33" t="str">
        <x:v>Workbook scope: all 80 unique interactive lessons with numeric IDs 1–80, the full curriculum hierarchy, and every lesson-to-topic mapping found in source.</x:v>
      </x:c>
      <x:c r="B2" s="33"/>
      <x:c r="C2" s="33"/>
      <x:c r="D2" s="33"/>
      <x:c r="E2" s="33"/>
      <x:c r="F2" s="33"/>
      <x:c r="G2" s="33"/>
      <x:c r="H2" s="33"/>
    </x:row>
    <x:row r="3">
      <x:c r="A3" s="34"/>
      <x:c r="B3" s="34"/>
      <x:c r="C3" s="34"/>
      <x:c r="D3" s="34"/>
      <x:c r="E3" s="34"/>
      <x:c r="F3" s="34"/>
      <x:c r="G3" s="34"/>
      <x:c r="H3" s="34"/>
    </x:row>
    <x:row r="4" ht="25" customHeight="1">
      <x:c r="A4" s="35" t="str">
        <x:v>Inventory at a glance</x:v>
      </x:c>
      <x:c r="B4" s="35"/>
      <x:c r="C4" s="35"/>
      <x:c r="D4" s="35"/>
      <x:c r="E4" s="35"/>
      <x:c r="F4" s="35"/>
      <x:c r="G4" s="35"/>
      <x:c r="H4" s="35"/>
    </x:row>
    <x:row r="5">
      <x:c r="A5" s="34"/>
      <x:c r="B5" s="34"/>
      <x:c r="C5" s="34"/>
      <x:c r="D5" s="34"/>
      <x:c r="E5" s="34"/>
      <x:c r="F5" s="34"/>
      <x:c r="G5" s="34"/>
      <x:c r="H5" s="34"/>
    </x:row>
    <x:row r="6">
      <x:c r="A6" s="36" t="str">
        <x:v>Metric</x:v>
      </x:c>
      <x:c r="B6" s="36" t="str">
        <x:v>Value</x:v>
      </x:c>
      <x:c r="C6" s="34"/>
      <x:c r="D6" s="37" t="str">
        <x:v>Workbook guide</x:v>
      </x:c>
      <x:c r="E6" s="37" t="str">
        <x:v>Purpose</x:v>
      </x:c>
      <x:c r="F6" s="37" t="str">
        <x:v>Primary hierarchy</x:v>
      </x:c>
      <x:c r="G6" s="37" t="str">
        <x:v>Rows</x:v>
      </x:c>
      <x:c r="H6" s="37" t="str">
        <x:v>Notes</x:v>
      </x:c>
    </x:row>
    <x:row r="7">
      <x:c r="A7" s="38" t="str">
        <x:v>Unique lessons</x:v>
      </x:c>
      <x:c r="B7" s="39" t="n">
        <x:f>COUNTA('All Lessons'!$E$5:$E$84)</x:f>
        <x:v>80</x:v>
      </x:c>
      <x:c r="C7" s="34"/>
      <x:c r="D7" s="38" t="str">
        <x:v>All Lessons</x:v>
      </x:c>
      <x:c r="E7" s="38" t="str">
        <x:v>Unique lesson registry</x:v>
      </x:c>
      <x:c r="F7" s="38" t="str">
        <x:v>Category → Subcategory/Unit → Topic → Lesson</x:v>
      </x:c>
      <x:c r="G7" s="38" t="n">
        <x:v>80</x:v>
      </x:c>
      <x:c r="H7" s="38" t="str">
        <x:v>Best sheet for a de-duplicated lesson list</x:v>
      </x:c>
    </x:row>
    <x:row r="8">
      <x:c r="A8" s="38" t="str">
        <x:v>Curriculum topics</x:v>
      </x:c>
      <x:c r="B8" s="39" t="n">
        <x:f>COUNTA('Curriculum Map'!$C$5:$C$78)</x:f>
        <x:v>74</x:v>
      </x:c>
      <x:c r="C8" s="34"/>
      <x:c r="D8" s="38" t="str">
        <x:v>Curriculum Map</x:v>
      </x:c>
      <x:c r="E8" s="38" t="str">
        <x:v>Syllabus hierarchy</x:v>
      </x:c>
      <x:c r="F8" s="38" t="str">
        <x:v>Class → Unit → Topic → Mapped Lessons</x:v>
      </x:c>
      <x:c r="G8" s="38" t="n">
        <x:v>74</x:v>
      </x:c>
      <x:c r="H8" s="38" t="str">
        <x:v>Includes outcomes, tools, stage, and source</x:v>
      </x:c>
    </x:row>
    <x:row r="9">
      <x:c r="A9" s="38" t="str">
        <x:v>Lesson-topic rows</x:v>
      </x:c>
      <x:c r="B9" s="39" t="n">
        <x:f>COUNTA('Lesson-Topic Map'!$D$5:$D$150)</x:f>
        <x:v>146</x:v>
      </x:c>
      <x:c r="C9" s="34"/>
      <x:c r="D9" s="38" t="str">
        <x:v>Lesson-Topic Map</x:v>
      </x:c>
      <x:c r="E9" s="38" t="str">
        <x:v>Relational mapping</x:v>
      </x:c>
      <x:c r="F9" s="38" t="str">
        <x:v>Category → Unit → Topic → Lesson</x:v>
      </x:c>
      <x:c r="G9" s="38" t="n">
        <x:v>146</x:v>
      </x:c>
      <x:c r="H9" s="38" t="str">
        <x:v>One row per topic/lesson relationship</x:v>
      </x:c>
    </x:row>
    <x:row r="10">
      <x:c r="A10" s="38" t="str">
        <x:v>Mapped lessons</x:v>
      </x:c>
      <x:c r="B10" s="39" t="n">
        <x:f>COUNTIF('All Lessons'!$D$5:$D$84,"&lt;&gt;Unmapped")</x:f>
        <x:v>75</x:v>
      </x:c>
      <x:c r="C10" s="34"/>
      <x:c r="D10" s="38" t="str">
        <x:v>Summary</x:v>
      </x:c>
      <x:c r="E10" s="38" t="str">
        <x:v>Counts and navigation</x:v>
      </x:c>
      <x:c r="F10" s="38" t="str">
        <x:v>Workbook-level</x:v>
      </x:c>
      <x:c r="G10" s="38" t="n">
        <x:v>1</x:v>
      </x:c>
      <x:c r="H10" s="38" t="str">
        <x:v>Formula-driven totals</x:v>
      </x:c>
    </x:row>
    <x:row r="11">
      <x:c r="A11" s="38" t="str">
        <x:v>Unmapped lessons</x:v>
      </x:c>
      <x:c r="B11" s="39" t="n">
        <x:f>COUNTIF('All Lessons'!$D$5:$D$84,"Unmapped")</x:f>
        <x:v>5</x:v>
      </x:c>
      <x:c r="C11" s="34"/>
      <x:c r="D11" s="34"/>
      <x:c r="E11" s="34"/>
      <x:c r="F11" s="34"/>
      <x:c r="G11" s="34"/>
      <x:c r="H11" s="34"/>
    </x:row>
    <x:row r="12">
      <x:c r="A12" s="34"/>
      <x:c r="B12" s="34"/>
      <x:c r="C12" s="34"/>
      <x:c r="D12" s="34"/>
      <x:c r="E12" s="34"/>
      <x:c r="F12" s="34"/>
      <x:c r="G12" s="34"/>
      <x:c r="H12" s="34"/>
    </x:row>
    <x:row r="13" ht="32" customHeight="1">
      <x:c r="A13" s="40" t="str">
        <x:v>Definition used: “lesson” means a unique interactive experiment/learning profile. Curriculum topics without an interactive lesson remain visible in Curriculum Map.</x:v>
      </x:c>
      <x:c r="B13" s="40"/>
      <x:c r="C13" s="40"/>
      <x:c r="D13" s="40"/>
      <x:c r="E13" s="40"/>
      <x:c r="F13" s="40"/>
      <x:c r="G13" s="40"/>
      <x:c r="H13" s="40"/>
    </x:row>
  </x:sheetData>
  <x:mergeCells>
    <x:mergeCell ref="A1:H1"/>
    <x:mergeCell ref="A2:H2"/>
    <x:mergeCell ref="A4:H4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30" hidden="0" customWidth="1"/>
    <x:col min="4" max="4" width="34" hidden="0" customWidth="1"/>
    <x:col min="5" max="5" width="30" hidden="0" customWidth="1"/>
    <x:col min="6" max="6" width="26" hidden="0" customWidth="1"/>
    <x:col min="7" max="7" width="22" hidden="0" customWidth="1"/>
    <x:col min="8" max="8" width="12" hidden="0" customWidth="1"/>
    <x:col min="9" max="9" width="22" hidden="0" customWidth="1"/>
    <x:col min="10" max="10" width="44" hidden="0" customWidth="1"/>
    <x:col min="11" max="11" width="50" hidden="0" customWidth="1"/>
    <x:col min="12" max="12" width="40" hidden="0" customWidth="1"/>
    <x:col min="13" max="13" width="34" hidden="0" customWidth="1"/>
    <x:col min="14" max="14" width="48" hidden="0" customWidth="1"/>
    <x:col min="15" max="15" width="11" hidden="0" customWidth="1"/>
    <x:col min="16" max="16" width="22" hidden="0" customWidth="1"/>
    <x:col min="17" max="17" width="48" hidden="0" customWidth="1"/>
    <x:col min="18" max="18" width="48" hidden="0" customWidth="1"/>
  </x:cols>
  <x:sheetData>
    <x:row r="1" ht="32" customHeight="1">
      <x:c r="A1" s="32" t="str">
        <x:v>All Lessons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30" customHeight="1">
      <x:c r="A2" s="33" t="str">
        <x:v>Extracted from the Physics Simulator curriculum, experiment, and Learning Studio registries.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</x:row>
    <x:row r="4" ht="34" customHeight="1">
      <x:c r="A4" s="41" t="str">
        <x:v>Lesson ID</x:v>
      </x:c>
      <x:c r="B4" s="41" t="str">
        <x:v>Category</x:v>
      </x:c>
      <x:c r="C4" s="41" t="str">
        <x:v>Subcategory / Unit</x:v>
      </x:c>
      <x:c r="D4" s="41" t="str">
        <x:v>Topic(s)</x:v>
      </x:c>
      <x:c r="E4" s="41" t="str">
        <x:v>Lesson</x:v>
      </x:c>
      <x:c r="F4" s="41" t="str">
        <x:v>Lesson Code</x:v>
      </x:c>
      <x:c r="G4" s="41" t="str">
        <x:v>Class Level</x:v>
      </x:c>
      <x:c r="H4" s="41" t="str">
        <x:v>Difficulty</x:v>
      </x:c>
      <x:c r="I4" s="41" t="str">
        <x:v>Curriculum Domain(s)</x:v>
      </x:c>
      <x:c r="J4" s="41" t="str">
        <x:v>Aim</x:v>
      </x:c>
      <x:c r="K4" s="41" t="str">
        <x:v>Theory</x:v>
      </x:c>
      <x:c r="L4" s="41" t="str">
        <x:v>Formulae</x:v>
      </x:c>
      <x:c r="M4" s="41" t="str">
        <x:v>Apparatus</x:v>
      </x:c>
      <x:c r="N4" s="41" t="str">
        <x:v>Expected Result</x:v>
      </x:c>
      <x:c r="O4" s="41" t="str">
        <x:v>Readiness</x:v>
      </x:c>
      <x:c r="P4" s="41" t="str">
        <x:v>Priority</x:v>
      </x:c>
      <x:c r="Q4" s="41" t="str">
        <x:v>Lesson Question</x:v>
      </x:c>
      <x:c r="R4" s="41" t="str">
        <x:v>Success Evidence</x:v>
      </x:c>
    </x:row>
    <x:row r="5">
      <x:c r="A5" s="42" t="n">
        <x:v>1</x:v>
      </x:c>
      <x:c r="B5" s="43" t="str">
        <x:v>Astronomy</x:v>
      </x:c>
      <x:c r="C5" s="43" t="str">
        <x:v>Laws, Energy, Rotation, and Gravitation • Core Physics • Advanced Physics • Research Lanes</x:v>
      </x:c>
      <x:c r="D5" s="43" t="str">
        <x:v>Gravitation • Analytical Mechanics • Plasma and Astrophysics • High Energy and Cosmology</x:v>
      </x:c>
      <x:c r="E5" s="43" t="str">
        <x:v>Satellite Orbit and Escape Speed</x:v>
      </x:c>
      <x:c r="F5" s="43" t="str">
        <x:v>satellite-orbit</x:v>
      </x:c>
      <x:c r="G5" s="43" t="str">
        <x:v>Class 11</x:v>
      </x:c>
      <x:c r="H5" s="43" t="str">
        <x:v>Intermediate</x:v>
      </x:c>
      <x:c r="I5" s="43" t="str">
        <x:v>Astronomy • Mechanics</x:v>
      </x:c>
      <x:c r="J5" s="43" t="str">
        <x:v>Compare orbital speed, escape speed, and orbital period around a planet.</x:v>
      </x:c>
      <x:c r="K5" s="43" t="str">
        <x:v>Gravity supplies centripetal force for circular orbit; escape speed is sqrt(2) times orbital speed at the same radius.</x:v>
      </x:c>
      <x:c r="L5" s="43" t="str">
        <x:v>Orbital speed: v_o=\sqrt{\frac{GM}{r}}</x:v>
      </x:c>
      <x:c r="M5" s="43" t="str">
        <x:v>Planet • Satellite • Orbit visualizer</x:v>
      </x:c>
      <x:c r="N5" s="43" t="str">
        <x:v>Escape speed is greater than circular orbital speed at the same orbital radius.</x:v>
      </x:c>
      <x:c r="O5" s="42" t="n">
        <x:v>86</x:v>
      </x:c>
      <x:c r="P5" s="43" t="str">
        <x:v>Misconception repair</x:v>
      </x:c>
      <x:c r="Q5" s="43" t="str">
        <x:v>How can we use satellite orbit and escape speed to predict radius before reading the answer?</x:v>
      </x:c>
      <x:c r="R5" s="43" t="str">
        <x:v>A strong learner can write a prediction, collect radius data, explain the trend, and apply it to a new case.</x:v>
      </x:c>
    </x:row>
    <x:row r="6">
      <x:c r="A6" s="42" t="n">
        <x:v>2</x:v>
      </x:c>
      <x:c r="B6" s="43" t="str">
        <x:v>Astronomy</x:v>
      </x:c>
      <x:c r="C6" s="43" t="str">
        <x:v>Unmapped</x:v>
      </x:c>
      <x:c r="D6" s="43" t="str">
        <x:v>Unmapped</x:v>
      </x:c>
      <x:c r="E6" s="43" t="str">
        <x:v>Universal Gravitation Field Map</x:v>
      </x:c>
      <x:c r="F6" s="43" t="str">
        <x:v>universal-gravitation</x:v>
      </x:c>
      <x:c r="G6" s="43" t="str">
        <x:v>Class 9 / Class 11</x:v>
      </x:c>
      <x:c r="H6" s="43" t="str">
        <x:v>Intermediate</x:v>
      </x:c>
      <x:c r="I6" s="43" t="str">
        <x:v>Mechanics • Astronomy</x:v>
      </x:c>
      <x:c r="J6" s="43" t="str">
        <x:v>Visualize how gravitational force changes with mass and distance.</x:v>
      </x:c>
      <x:c r="K6" s="43" t="str">
        <x:v>Every mass attracts every other mass. The force is proportional to both masses and inversely proportional to the square of the distance.</x:v>
      </x:c>
      <x:c r="L6" s="43" t="str">
        <x:v>Universal gravitation: F=G\frac{m_1m_2}{r^2}</x:v>
      </x:c>
      <x:c r="M6" s="43" t="str">
        <x:v>Planet mass • Test mass • Distance scale • Field map</x:v>
      </x:c>
      <x:c r="N6" s="43" t="str">
        <x:v>Doubling distance reduces gravitational force to one-fourth, if masses are unchanged.</x:v>
      </x:c>
      <x:c r="O6" s="42" t="n">
        <x:v>86</x:v>
      </x:c>
      <x:c r="P6" s="43" t="str">
        <x:v>Misconception repair</x:v>
      </x:c>
      <x:c r="Q6" s="43" t="str">
        <x:v>How can we use universal gravitation field map to predict mass 2 before reading the answer?</x:v>
      </x:c>
      <x:c r="R6" s="43" t="str">
        <x:v>A strong learner can write a prediction, collect mass 2 data, explain the trend, and apply it to a new case.</x:v>
      </x:c>
    </x:row>
    <x:row r="7">
      <x:c r="A7" s="42" t="n">
        <x:v>3</x:v>
      </x:c>
      <x:c r="B7" s="43" t="str">
        <x:v>Electricity</x:v>
      </x:c>
      <x:c r="C7" s="43" t="str">
        <x:v>Electricity and Magnetism</x:v>
      </x:c>
      <x:c r="D7" s="43" t="str">
        <x:v>EMI and Alternating Current</x:v>
      </x:c>
      <x:c r="E7" s="43" t="str">
        <x:v>AC Generator</x:v>
      </x:c>
      <x:c r="F7" s="43" t="str">
        <x:v>ac-generator</x:v>
      </x:c>
      <x:c r="G7" s="43" t="str">
        <x:v>Class 12</x:v>
      </x:c>
      <x:c r="H7" s="43" t="str">
        <x:v>Intermediate</x:v>
      </x:c>
      <x:c r="I7" s="43" t="str">
        <x:v>Electricity • Magnetism</x:v>
      </x:c>
      <x:c r="J7" s="43" t="str">
        <x:v>Visualize sinusoidal emf generated by rotating a coil in a magnetic field.</x:v>
      </x:c>
      <x:c r="K7" s="43" t="str">
        <x:v>Changing magnetic flux through a rotating coil induces emf. For uniform rotation, emf varies sinusoidally.</x:v>
      </x:c>
      <x:c r="L7" s="43" t="str">
        <x:v>AC generator emf: \mathcal{E}=NBA\omega\sin\omega t</x:v>
      </x:c>
      <x:c r="M7" s="43" t="str">
        <x:v>Rotating coil • Bar magnets • Slip rings • AC graph</x:v>
      </x:c>
      <x:c r="N7" s="43" t="str">
        <x:v>Peak emf increases with turns, field, area, and angular speed.</x:v>
      </x:c>
      <x:c r="O7" s="42" t="n">
        <x:v>86</x:v>
      </x:c>
      <x:c r="P7" s="43" t="str">
        <x:v>Misconception repair</x:v>
      </x:c>
      <x:c r="Q7" s="43" t="str">
        <x:v>How can we use ac generator to predict magnetic field before reading the answer?</x:v>
      </x:c>
      <x:c r="R7" s="43" t="str">
        <x:v>A strong learner can write a prediction, collect magnetic field data, explain the trend, and apply it to a new case.</x:v>
      </x:c>
    </x:row>
    <x:row r="8">
      <x:c r="A8" s="42" t="n">
        <x:v>4</x:v>
      </x:c>
      <x:c r="B8" s="43" t="str">
        <x:v>Electricity</x:v>
      </x:c>
      <x:c r="C8" s="43" t="str">
        <x:v>Electricity and Magnetism • Core Physics</x:v>
      </x:c>
      <x:c r="D8" s="43" t="str">
        <x:v>EMI and Alternating Current • Electrodynamics</x:v>
      </x:c>
      <x:c r="E8" s="43" t="str">
        <x:v>AC LCR Resonance</x:v>
      </x:c>
      <x:c r="F8" s="43" t="str">
        <x:v>ac-lcr-resonance</x:v>
      </x:c>
      <x:c r="G8" s="43" t="str">
        <x:v>Class 12</x:v>
      </x:c>
      <x:c r="H8" s="43" t="str">
        <x:v>Intermediate</x:v>
      </x:c>
      <x:c r="I8" s="43" t="str">
        <x:v>Electricity</x:v>
      </x:c>
      <x:c r="J8" s="43" t="str">
        <x:v>Compare reactance, impedance, current, and resonance in a series LCR circuit.</x:v>
      </x:c>
      <x:c r="K8" s="43" t="str">
        <x:v>At resonance, inductive and capacitive reactances cancel and current is maximum.</x:v>
      </x:c>
      <x:c r="L8" s="43" t="str">
        <x:v>Series LCR impedance: Z=\sqrt{R^2+(X_L-X_C)^2}</x:v>
      </x:c>
      <x:c r="M8" s="43" t="str">
        <x:v>AC source • Resistor • Inductor • Capacitor • Ammeter</x:v>
      </x:c>
      <x:c r="N8" s="43" t="str">
        <x:v>Current peaks when inductive and capacitive reactances are equal.</x:v>
      </x:c>
      <x:c r="O8" s="42" t="n">
        <x:v>86</x:v>
      </x:c>
      <x:c r="P8" s="43" t="str">
        <x:v>Misconception repair</x:v>
      </x:c>
      <x:c r="Q8" s="43" t="str">
        <x:v>How can we use ac lcr resonance to predict frequency before reading the answer?</x:v>
      </x:c>
      <x:c r="R8" s="43" t="str">
        <x:v>A strong learner can write a prediction, collect frequency data, explain the trend, and apply it to a new case.</x:v>
      </x:c>
    </x:row>
    <x:row r="9">
      <x:c r="A9" s="42" t="n">
        <x:v>5</x:v>
      </x:c>
      <x:c r="B9" s="43" t="str">
        <x:v>Electricity</x:v>
      </x:c>
      <x:c r="C9" s="43" t="str">
        <x:v>Electricity and Magnetism</x:v>
      </x:c>
      <x:c r="D9" s="43" t="str">
        <x:v>Electric Charges, Fields, Potential, and Capacitance</x:v>
      </x:c>
      <x:c r="E9" s="43" t="str">
        <x:v>Capacitor Energy and Combination</x:v>
      </x:c>
      <x:c r="F9" s="43" t="str">
        <x:v>capacitor-lab</x:v>
      </x:c>
      <x:c r="G9" s="43" t="str">
        <x:v>Class 12</x:v>
      </x:c>
      <x:c r="H9" s="43" t="str">
        <x:v>Intermediate</x:v>
      </x:c>
      <x:c r="I9" s="43" t="str">
        <x:v>Electricity</x:v>
      </x:c>
      <x:c r="J9" s="43" t="str">
        <x:v>Calculate charge and stored energy for a capacitor and compare combinations.</x:v>
      </x:c>
      <x:c r="K9" s="43" t="str">
        <x:v>A capacitor stores charge with Q = CV and energy U = 1/2 CV^2.</x:v>
      </x:c>
      <x:c r="L9" s="43" t="str">
        <x:v>Capacitor energy: U=\frac{1}{2}CV^2</x:v>
      </x:c>
      <x:c r="M9" s="43" t="str">
        <x:v>Battery • Capacitor plates • Voltmeter</x:v>
      </x:c>
      <x:c r="N9" s="43" t="str">
        <x:v>Energy grows with the square of voltage.</x:v>
      </x:c>
      <x:c r="O9" s="42" t="n">
        <x:v>83</x:v>
      </x:c>
      <x:c r="P9" s="43" t="str">
        <x:v>Misconception repair</x:v>
      </x:c>
      <x:c r="Q9" s="43" t="str">
        <x:v>How can we use capacitor energy and combination to predict voltage before reading the answer?</x:v>
      </x:c>
      <x:c r="R9" s="43" t="str">
        <x:v>A strong learner can write a prediction, collect voltage data, explain the trend, and apply it to a new case.</x:v>
      </x:c>
    </x:row>
    <x:row r="10">
      <x:c r="A10" s="42" t="n">
        <x:v>6</x:v>
      </x:c>
      <x:c r="B10" s="43" t="str">
        <x:v>Electricity</x:v>
      </x:c>
      <x:c r="C10" s="43" t="str">
        <x:v>Electricity and Magnetism</x:v>
      </x:c>
      <x:c r="D10" s="43" t="str">
        <x:v>Current Electricity</x:v>
      </x:c>
      <x:c r="E10" s="43" t="str">
        <x:v>Cell Internal Resistance</x:v>
      </x:c>
      <x:c r="F10" s="43" t="str">
        <x:v>internal-resistance-cell</x:v>
      </x:c>
      <x:c r="G10" s="43" t="str">
        <x:v>Class 12</x:v>
      </x:c>
      <x:c r="H10" s="43" t="str">
        <x:v>Intermediate</x:v>
      </x:c>
      <x:c r="I10" s="43" t="str">
        <x:v>Electricity</x:v>
      </x:c>
      <x:c r="J10" s="43" t="str">
        <x:v>Compare emf, terminal voltage, current, and internal resistance of a cell.</x:v>
      </x:c>
      <x:c r="K10" s="43" t="str">
        <x:v>A real cell has internal resistance, so terminal voltage falls as current increases: V = E - Ir.</x:v>
      </x:c>
      <x:c r="L10" s="43" t="str">
        <x:v>Terminal voltage: V=E-Ir</x:v>
      </x:c>
      <x:c r="M10" s="43" t="str">
        <x:v>Cell • Rheostat • Voltmeter • Ammeter • Switch</x:v>
      </x:c>
      <x:c r="N10" s="43" t="str">
        <x:v>Terminal voltage decreases when load current increases.</x:v>
      </x:c>
      <x:c r="O10" s="42" t="n">
        <x:v>86</x:v>
      </x:c>
      <x:c r="P10" s="43" t="str">
        <x:v>Misconception repair</x:v>
      </x:c>
      <x:c r="Q10" s="43" t="str">
        <x:v>How can we use cell internal resistance to predict external r before reading the answer?</x:v>
      </x:c>
      <x:c r="R10" s="43" t="str">
        <x:v>A strong learner can write a prediction, collect external r data, explain the trend, and apply it to a new case.</x:v>
      </x:c>
    </x:row>
    <x:row r="11">
      <x:c r="A11" s="42" t="n">
        <x:v>7</x:v>
      </x:c>
      <x:c r="B11" s="43" t="str">
        <x:v>Electricity</x:v>
      </x:c>
      <x:c r="C11" s="43" t="str">
        <x:v>Electricity and Natural Phenomena</x:v>
      </x:c>
      <x:c r="D11" s="43" t="str">
        <x:v>Chemical Effects of Current</x:v>
      </x:c>
      <x:c r="E11" s="43" t="str">
        <x:v>Chemical Effects of Current</x:v>
      </x:c>
      <x:c r="F11" s="43" t="str">
        <x:v>chemical-effects-current</x:v>
      </x:c>
      <x:c r="G11" s="43" t="str">
        <x:v>Class 8</x:v>
      </x:c>
      <x:c r="H11" s="43" t="str">
        <x:v>Beginner</x:v>
      </x:c>
      <x:c r="I11" s="43" t="str">
        <x:v>Electricity</x:v>
      </x:c>
      <x:c r="J11" s="43" t="str">
        <x:v>Model electrolysis/electroplating as charge passing through a conducting solution.</x:v>
      </x:c>
      <x:c r="K11" s="43" t="str">
        <x:v>Conducting liquids allow current through ions; deposited material depends on current and time.</x:v>
      </x:c>
      <x:c r="L11" s="43" t="str">
        <x:v>Charge passed: Q = It</x:v>
      </x:c>
      <x:c r="M11" s="43" t="str">
        <x:v>Battery • Electrodes • Conducting liquid • Switch</x:v>
      </x:c>
      <x:c r="N11" s="43" t="str">
        <x:v>More current and longer time produce more deposited material.</x:v>
      </x:c>
      <x:c r="O11" s="42" t="n">
        <x:v>86</x:v>
      </x:c>
      <x:c r="P11" s="43" t="str">
        <x:v>Misconception repair</x:v>
      </x:c>
      <x:c r="Q11" s="43" t="str">
        <x:v>How can we use chemical effects of current to predict time before reading the answer?</x:v>
      </x:c>
      <x:c r="R11" s="43" t="str">
        <x:v>A strong learner can write a prediction, collect time data, explain the trend, and apply it to a new case.</x:v>
      </x:c>
    </x:row>
    <x:row r="12">
      <x:c r="A12" s="42" t="n">
        <x:v>8</x:v>
      </x:c>
      <x:c r="B12" s="43" t="str">
        <x:v>Electricity</x:v>
      </x:c>
      <x:c r="C12" s="43" t="str">
        <x:v>Effects of Current</x:v>
      </x:c>
      <x:c r="D12" s="43" t="str">
        <x:v>Heating Effect and Electric Power</x:v>
      </x:c>
      <x:c r="E12" s="43" t="str">
        <x:v>Electric Power and Energy</x:v>
      </x:c>
      <x:c r="F12" s="43" t="str">
        <x:v>electric-power</x:v>
      </x:c>
      <x:c r="G12" s="43" t="str">
        <x:v>Class 10</x:v>
      </x:c>
      <x:c r="H12" s="43" t="str">
        <x:v>Beginner</x:v>
      </x:c>
      <x:c r="I12" s="43" t="str">
        <x:v>Electricity</x:v>
      </x:c>
      <x:c r="J12" s="43" t="str">
        <x:v>Connect circuit power to electrical energy consumed over time.</x:v>
      </x:c>
      <x:c r="K12" s="43" t="str">
        <x:v>Power is the rate of electrical energy use; P = VI and energy equals power times time.</x:v>
      </x:c>
      <x:c r="L12" s="43" t="str">
        <x:v>Electric power: P = VI</x:v>
      </x:c>
      <x:c r="M12" s="43" t="str">
        <x:v>Battery • Bulb • Ammeter • Voltmeter • Energy meter</x:v>
      </x:c>
      <x:c r="N12" s="43" t="str">
        <x:v>Energy consumed increases with both power rating and usage time.</x:v>
      </x:c>
      <x:c r="O12" s="42" t="n">
        <x:v>86</x:v>
      </x:c>
      <x:c r="P12" s="43" t="str">
        <x:v>Misconception repair</x:v>
      </x:c>
      <x:c r="Q12" s="43" t="str">
        <x:v>How can we use electric power and energy to predict current before reading the answer?</x:v>
      </x:c>
      <x:c r="R12" s="43" t="str">
        <x:v>A strong learner can write a prediction, collect current data, explain the trend, and apply it to a new case.</x:v>
      </x:c>
    </x:row>
    <x:row r="13">
      <x:c r="A13" s="42" t="n">
        <x:v>9</x:v>
      </x:c>
      <x:c r="B13" s="43" t="str">
        <x:v>Electricity</x:v>
      </x:c>
      <x:c r="C13" s="43" t="str">
        <x:v>Electricity and Magnetism • Core Physics</x:v>
      </x:c>
      <x:c r="D13" s="43" t="str">
        <x:v>Electric Charges, Fields, Potential, and Capacitance • Electrodynamics</x:v>
      </x:c>
      <x:c r="E13" s="43" t="str">
        <x:v>Electrostatic Field and Potential</x:v>
      </x:c>
      <x:c r="F13" s="43" t="str">
        <x:v>electrostatic-field-potential</x:v>
      </x:c>
      <x:c r="G13" s="43" t="str">
        <x:v>Class 12</x:v>
      </x:c>
      <x:c r="H13" s="43" t="str">
        <x:v>Intermediate</x:v>
      </x:c>
      <x:c r="I13" s="43" t="str">
        <x:v>Electricity</x:v>
      </x:c>
      <x:c r="J13" s="43" t="str">
        <x:v>Compare electric field and potential around point charges.</x:v>
      </x:c>
      <x:c r="K13" s="43" t="str">
        <x:v>Electric field is force per unit charge, while potential is work per unit charge.</x:v>
      </x:c>
      <x:c r="L13" s="43" t="str">
        <x:v>Point charge field: E=\frac{kq}{r^2}</x:v>
      </x:c>
      <x:c r="M13" s="43" t="str">
        <x:v>Point charges • Electric field region • Probe</x:v>
      </x:c>
      <x:c r="N13" s="43" t="str">
        <x:v>Field follows inverse square with distance; potential follows inverse distance.</x:v>
      </x:c>
      <x:c r="O13" s="42" t="n">
        <x:v>86</x:v>
      </x:c>
      <x:c r="P13" s="43" t="str">
        <x:v>Misconception repair</x:v>
      </x:c>
      <x:c r="Q13" s="43" t="str">
        <x:v>How can we use electrostatic field and potential to predict distance before reading the answer?</x:v>
      </x:c>
      <x:c r="R13" s="43" t="str">
        <x:v>A strong learner can write a prediction, collect distance data, explain the trend, and apply it to a new case.</x:v>
      </x:c>
    </x:row>
    <x:row r="14">
      <x:c r="A14" s="42" t="n">
        <x:v>10</x:v>
      </x:c>
      <x:c r="B14" s="43" t="str">
        <x:v>Electricity</x:v>
      </x:c>
      <x:c r="C14" s="43" t="str">
        <x:v>Electricity and Magnetism • Core Physics</x:v>
      </x:c>
      <x:c r="D14" s="43" t="str">
        <x:v>EMI and Alternating Current • Electrodynamics</x:v>
      </x:c>
      <x:c r="E14" s="43" t="str">
        <x:v>Faraday Induction</x:v>
      </x:c>
      <x:c r="F14" s="43" t="str">
        <x:v>emi-faraday</x:v>
      </x:c>
      <x:c r="G14" s="43" t="str">
        <x:v>Class 12</x:v>
      </x:c>
      <x:c r="H14" s="43" t="str">
        <x:v>Intermediate</x:v>
      </x:c>
      <x:c r="I14" s="43" t="str">
        <x:v>Electricity • Magnetism</x:v>
      </x:c>
      <x:c r="J14" s="43" t="str">
        <x:v>Explore induced emf from changing magnetic flux.</x:v>
      </x:c>
      <x:c r="K14" s="43" t="str">
        <x:v>Faraday's law says induced emf equals the negative rate of change of magnetic flux linkage.</x:v>
      </x:c>
      <x:c r="L14" s="43" t="str">
        <x:v>Faraday's law: \mathcal{E}=-N\frac{\Delta\Phi}{\Delta t}</x:v>
      </x:c>
      <x:c r="M14" s="43" t="str">
        <x:v>Coil • Bar magnet • Galvanometer</x:v>
      </x:c>
      <x:c r="N14" s="43" t="str">
        <x:v>Faster flux change and more turns produce larger induced emf.</x:v>
      </x:c>
      <x:c r="O14" s="42" t="n">
        <x:v>83</x:v>
      </x:c>
      <x:c r="P14" s="43" t="str">
        <x:v>Misconception repair</x:v>
      </x:c>
      <x:c r="Q14" s="43" t="str">
        <x:v>How can we use faraday induction to predict flux change before reading the answer?</x:v>
      </x:c>
      <x:c r="R14" s="43" t="str">
        <x:v>A strong learner can write a prediction, collect flux change data, explain the trend, and apply it to a new case.</x:v>
      </x:c>
    </x:row>
    <x:row r="15">
      <x:c r="A15" s="42" t="n">
        <x:v>11</x:v>
      </x:c>
      <x:c r="B15" s="43" t="str">
        <x:v>Electricity</x:v>
      </x:c>
      <x:c r="C15" s="43" t="str">
        <x:v>Electric Current and Its Effects • Effects of Current</x:v>
      </x:c>
      <x:c r="D15" s="43" t="str">
        <x:v>Heating Effect of Current • Heating Effect and Electric Power</x:v>
      </x:c>
      <x:c r="E15" s="43" t="str">
        <x:v>Heating Effect of Current</x:v>
      </x:c>
      <x:c r="F15" s="43" t="str">
        <x:v>heating-effect-current</x:v>
      </x:c>
      <x:c r="G15" s="43" t="str">
        <x:v>Class 7 / Class 10</x:v>
      </x:c>
      <x:c r="H15" s="43" t="str">
        <x:v>Beginner</x:v>
      </x:c>
      <x:c r="I15" s="43" t="str">
        <x:v>Electricity</x:v>
      </x:c>
      <x:c r="J15" s="43" t="str">
        <x:v>Explore how current, resistance, and time affect Joule heating.</x:v>
      </x:c>
      <x:c r="K15" s="43" t="str">
        <x:v>Electrical heating follows H = I^2Rt, so current has the strongest effect.</x:v>
      </x:c>
      <x:c r="L15" s="43" t="str">
        <x:v>Joule heating: H = I^2Rt</x:v>
      </x:c>
      <x:c r="M15" s="43" t="str">
        <x:v>Battery • Resistor • Bulb • Switch • Ammeter</x:v>
      </x:c>
      <x:c r="N15" s="43" t="str">
        <x:v>Doubling current makes heating four times larger for the same resistance and time.</x:v>
      </x:c>
      <x:c r="O15" s="42" t="n">
        <x:v>86</x:v>
      </x:c>
      <x:c r="P15" s="43" t="str">
        <x:v>Misconception repair</x:v>
      </x:c>
      <x:c r="Q15" s="43" t="str">
        <x:v>How can we use heating effect of current to predict current before reading the answer?</x:v>
      </x:c>
      <x:c r="R15" s="43" t="str">
        <x:v>A strong learner can write a prediction, collect current data, explain the trend, and apply it to a new case.</x:v>
      </x:c>
    </x:row>
    <x:row r="16">
      <x:c r="A16" s="42" t="n">
        <x:v>12</x:v>
      </x:c>
      <x:c r="B16" s="43" t="str">
        <x:v>Electricity</x:v>
      </x:c>
      <x:c r="C16" s="43" t="str">
        <x:v>Electricity and Magnetism</x:v>
      </x:c>
      <x:c r="D16" s="43" t="str">
        <x:v>Current Electricity</x:v>
      </x:c>
      <x:c r="E16" s="43" t="str">
        <x:v>Kirchhoff Circuit Rules</x:v>
      </x:c>
      <x:c r="F16" s="43" t="str">
        <x:v>kirchhoff-circuit</x:v>
      </x:c>
      <x:c r="G16" s="43" t="str">
        <x:v>Class 12</x:v>
      </x:c>
      <x:c r="H16" s="43" t="str">
        <x:v>Intermediate</x:v>
      </x:c>
      <x:c r="I16" s="43" t="str">
        <x:v>Electricity</x:v>
      </x:c>
      <x:c r="J16" s="43" t="str">
        <x:v>Use junction and loop rules to analyse a two-resistor network.</x:v>
      </x:c>
      <x:c r="K16" s="43" t="str">
        <x:v>Charge conservation gives junction rule, and energy conservation gives loop rule.</x:v>
      </x:c>
      <x:c r="L16" s="43" t="str">
        <x:v>Loop rule: \sum V = 0</x:v>
      </x:c>
      <x:c r="M16" s="43" t="str">
        <x:v>Battery • Resistors • Ammeter • Voltmeter</x:v>
      </x:c>
      <x:c r="N16" s="43" t="str">
        <x:v>At a junction, incoming current equals outgoing current.</x:v>
      </x:c>
      <x:c r="O16" s="42" t="n">
        <x:v>86</x:v>
      </x:c>
      <x:c r="P16" s="43" t="str">
        <x:v>Misconception repair</x:v>
      </x:c>
      <x:c r="Q16" s="43" t="str">
        <x:v>How can we use kirchhoff circuit rules to predict r1 before reading the answer?</x:v>
      </x:c>
      <x:c r="R16" s="43" t="str">
        <x:v>A strong learner can write a prediction, collect r1 data, explain the trend, and apply it to a new case.</x:v>
      </x:c>
    </x:row>
    <x:row r="17">
      <x:c r="A17" s="42" t="n">
        <x:v>13</x:v>
      </x:c>
      <x:c r="B17" s="43" t="str">
        <x:v>Electricity</x:v>
      </x:c>
      <x:c r="C17" s="43" t="str">
        <x:v>Electricity and Magnetism</x:v>
      </x:c>
      <x:c r="D17" s="43" t="str">
        <x:v>Current Electricity</x:v>
      </x:c>
      <x:c r="E17" s="43" t="str">
        <x:v>Meter Bridge</x:v>
      </x:c>
      <x:c r="F17" s="43" t="str">
        <x:v>meter-bridge</x:v>
      </x:c>
      <x:c r="G17" s="43" t="str">
        <x:v>Class 12</x:v>
      </x:c>
      <x:c r="H17" s="43" t="str">
        <x:v>Intermediate</x:v>
      </x:c>
      <x:c r="I17" s="43" t="str">
        <x:v>Electricity</x:v>
      </x:c>
      <x:c r="J17" s="43" t="str">
        <x:v>Find an unknown resistance using the balanced Wheatstone bridge relation.</x:v>
      </x:c>
      <x:c r="K17" s="43" t="str">
        <x:v>At balance, no current flows through the galvanometer and R/X = l/(100-l).</x:v>
      </x:c>
      <x:c r="L17" s="43" t="str">
        <x:v>Balance relation: \frac{R}{X}=\frac{l}{100-l}</x:v>
      </x:c>
      <x:c r="M17" s="43" t="str">
        <x:v>Meter bridge • Known resistor • Unknown resistor • Galvanometer • Jockey</x:v>
      </x:c>
      <x:c r="N17" s="43" t="str">
        <x:v>Unknown resistance follows X = R(100-l)/l.</x:v>
      </x:c>
      <x:c r="O17" s="42" t="n">
        <x:v>86</x:v>
      </x:c>
      <x:c r="P17" s="43" t="str">
        <x:v>Misconception repair</x:v>
      </x:c>
      <x:c r="Q17" s="43" t="str">
        <x:v>How can we use meter bridge to predict balance length before reading the answer?</x:v>
      </x:c>
      <x:c r="R17" s="43" t="str">
        <x:v>A strong learner can write a prediction, collect balance length data, explain the trend, and apply it to a new case.</x:v>
      </x:c>
    </x:row>
    <x:row r="18">
      <x:c r="A18" s="42" t="n">
        <x:v>14</x:v>
      </x:c>
      <x:c r="B18" s="43" t="str">
        <x:v>Electricity</x:v>
      </x:c>
      <x:c r="C18" s="43" t="str">
        <x:v>Light, Motion, Electricity • Effects of Current • Electricity and Magnetism</x:v>
      </x:c>
      <x:c r="D18" s="43" t="str">
        <x:v>Simple Electric Circuits • Ohm's Law and V-I Graph • Current Electricity</x:v>
      </x:c>
      <x:c r="E18" s="43" t="str">
        <x:v>Ohm's Law V-I Graph</x:v>
      </x:c>
      <x:c r="F18" s="43" t="str">
        <x:v>ohms-law</x:v>
      </x:c>
      <x:c r="G18" s="43" t="str">
        <x:v>Class 10 / Class 12</x:v>
      </x:c>
      <x:c r="H18" s="43" t="str">
        <x:v>Beginner</x:v>
      </x:c>
      <x:c r="I18" s="43" t="str">
        <x:v>Electricity</x:v>
      </x:c>
      <x:c r="J18" s="43" t="str">
        <x:v>Plot voltage against current and determine resistance from the graph slope.</x:v>
      </x:c>
      <x:c r="K18" s="43" t="str">
        <x:v>For an ohmic conductor at constant temperature, V is directly proportional to I.</x:v>
      </x:c>
      <x:c r="L18" s="43" t="str">
        <x:v>Ohm's law: V = IR</x:v>
      </x:c>
      <x:c r="M18" s="43" t="str">
        <x:v>Battery • Resistor • Ammeter • Voltmeter • Switch</x:v>
      </x:c>
      <x:c r="N18" s="43" t="str">
        <x:v>The V-I graph is a straight line through origin for an ohmic conductor.</x:v>
      </x:c>
      <x:c r="O18" s="42" t="n">
        <x:v>95</x:v>
      </x:c>
      <x:c r="P18" s="43" t="str">
        <x:v>Misconception repair</x:v>
      </x:c>
      <x:c r="Q18" s="43" t="str">
        <x:v>How can we use ohm's law v-i graph to predict resistance before reading the answer?</x:v>
      </x:c>
      <x:c r="R18" s="43" t="str">
        <x:v>A strong learner can write a prediction, collect resistance data, explain the trend, and apply it to a new case.</x:v>
      </x:c>
    </x:row>
    <x:row r="19">
      <x:c r="A19" s="42" t="n">
        <x:v>15</x:v>
      </x:c>
      <x:c r="B19" s="43" t="str">
        <x:v>Electricity</x:v>
      </x:c>
      <x:c r="C19" s="43" t="str">
        <x:v>Effects of Current • Electricity and Magnetism</x:v>
      </x:c>
      <x:c r="D19" s="43" t="str">
        <x:v>Series and Parallel Resistance • Current Electricity</x:v>
      </x:c>
      <x:c r="E19" s="43" t="str">
        <x:v>Series and Parallel Resistance</x:v>
      </x:c>
      <x:c r="F19" s="43" t="str">
        <x:v>series-parallel-resistance</x:v>
      </x:c>
      <x:c r="G19" s="43" t="str">
        <x:v>Class 10 / Class 12</x:v>
      </x:c>
      <x:c r="H19" s="43" t="str">
        <x:v>Intermediate</x:v>
      </x:c>
      <x:c r="I19" s="43" t="str">
        <x:v>Electricity</x:v>
      </x:c>
      <x:c r="J19" s="43" t="str">
        <x:v>Compare equivalent resistance and current in series and parallel circuits.</x:v>
      </x:c>
      <x:c r="K19" s="43" t="str">
        <x:v>Series resistances add; parallel conductances add.</x:v>
      </x:c>
      <x:c r="L19" s="43" t="str">
        <x:v>Equivalent resistance: R_s=R_1+R_2,\quad R_p=\frac{R_1R_2}{R_1+R_2}</x:v>
      </x:c>
      <x:c r="M19" s="43" t="str">
        <x:v>Battery • Resistors • Ammeter • Voltmeter • Wires</x:v>
      </x:c>
      <x:c r="N19" s="43" t="str">
        <x:v>Parallel equivalent resistance is less than each individual branch resistance.</x:v>
      </x:c>
      <x:c r="O19" s="42" t="n">
        <x:v>89</x:v>
      </x:c>
      <x:c r="P19" s="43" t="str">
        <x:v>Misconception repair</x:v>
      </x:c>
      <x:c r="Q19" s="43" t="str">
        <x:v>How can we use series and parallel resistance to predict r2 before reading the answer?</x:v>
      </x:c>
      <x:c r="R19" s="43" t="str">
        <x:v>A strong learner can write a prediction, collect r2 data, explain the trend, and apply it to a new case.</x:v>
      </x:c>
    </x:row>
    <x:row r="20">
      <x:c r="A20" s="42" t="n">
        <x:v>16</x:v>
      </x:c>
      <x:c r="B20" s="43" t="str">
        <x:v>Electricity</x:v>
      </x:c>
      <x:c r="C20" s="43" t="str">
        <x:v>Electricity and Natural Phenomena • Electricity and Magnetism</x:v>
      </x:c>
      <x:c r="D20" s="43" t="str">
        <x:v>Static Electricity and Lightning • Electric Charges, Fields, Potential, and Capacitance</x:v>
      </x:c>
      <x:c r="E20" s="43" t="str">
        <x:v>Static Electricity and Lightning</x:v>
      </x:c>
      <x:c r="F20" s="43" t="str">
        <x:v>static-electricity</x:v>
      </x:c>
      <x:c r="G20" s="43" t="str">
        <x:v>Class 8 / Class 12 foundation</x:v>
      </x:c>
      <x:c r="H20" s="43" t="str">
        <x:v>Beginner</x:v>
      </x:c>
      <x:c r="I20" s="43" t="str">
        <x:v>Electricity</x:v>
      </x:c>
      <x:c r="J20" s="43" t="str">
        <x:v>Explore attraction, repulsion, and the distance dependence of electric force.</x:v>
      </x:c>
      <x:c r="K20" s="43" t="str">
        <x:v>Like charges repel, unlike charges attract, and electric force follows an inverse-square relation.</x:v>
      </x:c>
      <x:c r="L20" s="43" t="str">
        <x:v>Coulomb's law: F = k\frac{q_1q_2}{r^2}</x:v>
      </x:c>
      <x:c r="M20" s="43" t="str">
        <x:v>Charges • Electric field region • Ruler</x:v>
      </x:c>
      <x:c r="N20" s="43" t="str">
        <x:v>Like charges repel, unlike charges attract, and force reduces rapidly with distance.</x:v>
      </x:c>
      <x:c r="O20" s="42" t="n">
        <x:v>86</x:v>
      </x:c>
      <x:c r="P20" s="43" t="str">
        <x:v>Misconception repair</x:v>
      </x:c>
      <x:c r="Q20" s="43" t="str">
        <x:v>How can we use static electricity and lightning to predict charge 2 before reading the answer?</x:v>
      </x:c>
      <x:c r="R20" s="43" t="str">
        <x:v>A strong learner can write a prediction, collect charge 2 data, explain the trend, and apply it to a new case.</x:v>
      </x:c>
    </x:row>
    <x:row r="21">
      <x:c r="A21" s="42" t="n">
        <x:v>17</x:v>
      </x:c>
      <x:c r="B21" s="43" t="str">
        <x:v>Electricity</x:v>
      </x:c>
      <x:c r="C21" s="43" t="str">
        <x:v>Electricity and Magnetism</x:v>
      </x:c>
      <x:c r="D21" s="43" t="str">
        <x:v>EMI and Alternating Current</x:v>
      </x:c>
      <x:c r="E21" s="43" t="str">
        <x:v>Transformer Lab</x:v>
      </x:c>
      <x:c r="F21" s="43" t="str">
        <x:v>transformer-lab</x:v>
      </x:c>
      <x:c r="G21" s="43" t="str">
        <x:v>Class 12</x:v>
      </x:c>
      <x:c r="H21" s="43" t="str">
        <x:v>Intermediate</x:v>
      </x:c>
      <x:c r="I21" s="43" t="str">
        <x:v>Electricity • Magnetism</x:v>
      </x:c>
      <x:c r="J21" s="43" t="str">
        <x:v>Compare primary and secondary voltages, current, and efficiency in a transformer.</x:v>
      </x:c>
      <x:c r="K21" s="43" t="str">
        <x:v>An ideal transformer follows Vs/Vp = Ns/Np. Practical transformers lose some energy as heat and magnetic leakage.</x:v>
      </x:c>
      <x:c r="L21" s="43" t="str">
        <x:v>Transformer equation: \frac{V_s}{V_p}=\frac{N_s}{N_p}</x:v>
      </x:c>
      <x:c r="M21" s="43" t="str">
        <x:v>AC source • Primary coil • Secondary coil • Iron core • Load</x:v>
      </x:c>
      <x:c r="N21" s="43" t="str">
        <x:v>More secondary turns than primary turns steps voltage up.</x:v>
      </x:c>
      <x:c r="O21" s="42" t="n">
        <x:v>86</x:v>
      </x:c>
      <x:c r="P21" s="43" t="str">
        <x:v>Misconception repair</x:v>
      </x:c>
      <x:c r="Q21" s="43" t="str">
        <x:v>How can we use transformer lab to predict np before reading the answer?</x:v>
      </x:c>
      <x:c r="R21" s="43" t="str">
        <x:v>A strong learner can write a prediction, collect np data, explain the trend, and apply it to a new case.</x:v>
      </x:c>
    </x:row>
    <x:row r="22">
      <x:c r="A22" s="42" t="n">
        <x:v>18</x:v>
      </x:c>
      <x:c r="B22" s="43" t="str">
        <x:v>Electronics</x:v>
      </x:c>
      <x:c r="C22" s="43" t="str">
        <x:v>Optics and Modern Physics • Advanced Physics • Research Lanes</x:v>
      </x:c>
      <x:c r="D22" s="43" t="str">
        <x:v>Semiconductor Electronics • Condensed Matter • Quantum Information</x:v>
      </x:c>
      <x:c r="E22" s="43" t="str">
        <x:v>Logic Gates</x:v>
      </x:c>
      <x:c r="F22" s="43" t="str">
        <x:v>logic-gates</x:v>
      </x:c>
      <x:c r="G22" s="43" t="str">
        <x:v>Class 12</x:v>
      </x:c>
      <x:c r="H22" s="43" t="str">
        <x:v>Beginner</x:v>
      </x:c>
      <x:c r="I22" s="43" t="str">
        <x:v>Electronics</x:v>
      </x:c>
      <x:c r="J22" s="43" t="str">
        <x:v>Build truth tables for NOT, AND, OR, NAND, and NOR gates.</x:v>
      </x:c>
      <x:c r="K22" s="43" t="str">
        <x:v>Logic gates convert binary inputs into binary outputs and form the building blocks of digital electronics.</x:v>
      </x:c>
      <x:c r="L22" s="43" t="str">
        <x:v>AND gate: Y=A\cdot B</x:v>
      </x:c>
      <x:c r="M22" s="43" t="str">
        <x:v>Switch inputs • Logic gate • LED output • Truth table</x:v>
      </x:c>
      <x:c r="N22" s="43" t="str">
        <x:v>Each gate follows its standard truth table; NAND and NOR invert AND and OR outputs.</x:v>
      </x:c>
      <x:c r="O22" s="42" t="n">
        <x:v>86</x:v>
      </x:c>
      <x:c r="P22" s="43" t="str">
        <x:v>Misconception repair</x:v>
      </x:c>
      <x:c r="Q22" s="43" t="str">
        <x:v>How can we use logic gates to predict input a before reading the answer?</x:v>
      </x:c>
      <x:c r="R22" s="43" t="str">
        <x:v>A strong learner can write a prediction, collect input a data, explain the trend, and apply it to a new case.</x:v>
      </x:c>
    </x:row>
    <x:row r="23">
      <x:c r="A23" s="42" t="n">
        <x:v>19</x:v>
      </x:c>
      <x:c r="B23" s="43" t="str">
        <x:v>Electronics</x:v>
      </x:c>
      <x:c r="C23" s="43" t="str">
        <x:v>Optics and Modern Physics • Advanced Physics • Research Lanes</x:v>
      </x:c>
      <x:c r="D23" s="43" t="str">
        <x:v>Semiconductor Electronics • Condensed Matter • Materials and Devices</x:v>
      </x:c>
      <x:c r="E23" s="43" t="str">
        <x:v>Semiconductor Diode and Rectifier</x:v>
      </x:c>
      <x:c r="F23" s="43" t="str">
        <x:v>semiconductor-diode</x:v>
      </x:c>
      <x:c r="G23" s="43" t="str">
        <x:v>Class 12</x:v>
      </x:c>
      <x:c r="H23" s="43" t="str">
        <x:v>Intermediate</x:v>
      </x:c>
      <x:c r="I23" s="43" t="str">
        <x:v>Electronics</x:v>
      </x:c>
      <x:c r="J23" s="43" t="str">
        <x:v>Compare forward and reverse bias diode current and estimate rectified output.</x:v>
      </x:c>
      <x:c r="K23" s="43" t="str">
        <x:v>A p-n junction conducts strongly after cut-in voltage in forward bias and blocks most reverse current.</x:v>
      </x:c>
      <x:c r="L23" s="43" t="str">
        <x:v>Half-wave output: V_{out}\approx V_{in}-V_D</x:v>
      </x:c>
      <x:c r="M23" s="43" t="str">
        <x:v>Diode • Resistor • AC source • Voltmeter</x:v>
      </x:c>
      <x:c r="N23" s="43" t="str">
        <x:v>Forward current flows only when input exceeds diode drop; reverse half-cycle is blocked in half-wave rectification.</x:v>
      </x:c>
      <x:c r="O23" s="42" t="n">
        <x:v>86</x:v>
      </x:c>
      <x:c r="P23" s="43" t="str">
        <x:v>Misconception repair</x:v>
      </x:c>
      <x:c r="Q23" s="43" t="str">
        <x:v>How can we use semiconductor diode and rectifier to predict diode drop before reading the answer?</x:v>
      </x:c>
      <x:c r="R23" s="43" t="str">
        <x:v>A strong learner can write a prediction, collect diode drop data, explain the trend, and apply it to a new case.</x:v>
      </x:c>
    </x:row>
    <x:row r="24">
      <x:c r="A24" s="42" t="n">
        <x:v>20</x:v>
      </x:c>
      <x:c r="B24" s="43" t="str">
        <x:v>Energy</x:v>
      </x:c>
      <x:c r="C24" s="43" t="str">
        <x:v>Sources of Energy</x:v>
      </x:c>
      <x:c r="D24" s="43" t="str">
        <x:v>Conventional and Renewable Energy Sources</x:v>
      </x:c>
      <x:c r="E24" s="43" t="str">
        <x:v>Sources of Energy Comparator</x:v>
      </x:c>
      <x:c r="F24" s="43" t="str">
        <x:v>sources-of-energy</x:v>
      </x:c>
      <x:c r="G24" s="43" t="str">
        <x:v>Class 10</x:v>
      </x:c>
      <x:c r="H24" s="43" t="str">
        <x:v>Beginner</x:v>
      </x:c>
      <x:c r="I24" s="43" t="str">
        <x:v>Energy</x:v>
      </x:c>
      <x:c r="J24" s="43" t="str">
        <x:v>Compare renewable and conventional energy sources using power output, efficiency, cost, and environmental score.</x:v>
      </x:c>
      <x:c r="K24" s="43" t="str">
        <x:v>A good energy source is available, economical, efficient, easy to store/transport, and has low environmental impact.</x:v>
      </x:c>
      <x:c r="L24" s="43" t="str">
        <x:v>Useful energy: E_{useful}=\eta E_{input}</x:v>
      </x:c>
      <x:c r="M24" s="43" t="str">
        <x:v>Energy dashboard • Efficiency meter • Impact meter • Load bulb</x:v>
      </x:c>
      <x:c r="N24" s="43" t="str">
        <x:v>Higher efficiency increases useful output, while fossil-fuel-heavy mixes raise impact score.</x:v>
      </x:c>
      <x:c r="O24" s="42" t="n">
        <x:v>86</x:v>
      </x:c>
      <x:c r="P24" s="43" t="str">
        <x:v>Misconception repair</x:v>
      </x:c>
      <x:c r="Q24" s="43" t="str">
        <x:v>How can we use sources of energy comparator to predict input energy before reading the answer?</x:v>
      </x:c>
      <x:c r="R24" s="43" t="str">
        <x:v>A strong learner can write a prediction, collect input energy data, explain the trend, and apply it to a new case.</x:v>
      </x:c>
    </x:row>
    <x:row r="25">
      <x:c r="A25" s="42" t="n">
        <x:v>21</x:v>
      </x:c>
      <x:c r="B25" s="43" t="str">
        <x:v>Fluid Mechanics</x:v>
      </x:c>
      <x:c r="C25" s="43" t="str">
        <x:v>Matter, Thermal Physics, Oscillations, and Waves</x:v>
      </x:c>
      <x:c r="D25" s="43" t="str">
        <x:v>Solids and Fluids</x:v>
      </x:c>
      <x:c r="E25" s="43" t="str">
        <x:v>Bernoulli Fluid Flow</x:v>
      </x:c>
      <x:c r="F25" s="43" t="str">
        <x:v>bernoulli-fluid-flow</x:v>
      </x:c>
      <x:c r="G25" s="43" t="str">
        <x:v>Class 11</x:v>
      </x:c>
      <x:c r="H25" s="43" t="str">
        <x:v>Intermediate</x:v>
      </x:c>
      <x:c r="I25" s="43" t="str">
        <x:v>Fluid Mechanics</x:v>
      </x:c>
      <x:c r="J25" s="43" t="str">
        <x:v>Explore pressure-speed-height tradeoffs in streamline fluid flow.</x:v>
      </x:c>
      <x:c r="K25" s="43" t="str">
        <x:v>For ideal flow, pressure energy, kinetic energy per volume, and gravitational potential per volume remain conserved along a streamline.</x:v>
      </x:c>
      <x:c r="L25" s="43" t="str">
        <x:v>Bernoulli equation: P+\frac{1}{2}\rho v^2+\rho gh=constant</x:v>
      </x:c>
      <x:c r="M25" s="43" t="str">
        <x:v>Flow tube • Pressure sensors • Fluid region</x:v>
      </x:c>
      <x:c r="N25" s="43" t="str">
        <x:v>Higher flow speed or height leaves less static pressure in the same streamline.</x:v>
      </x:c>
      <x:c r="O25" s="42" t="n">
        <x:v>86</x:v>
      </x:c>
      <x:c r="P25" s="43" t="str">
        <x:v>Misconception repair</x:v>
      </x:c>
      <x:c r="Q25" s="43" t="str">
        <x:v>How can we use bernoulli fluid flow to predict speed before reading the answer?</x:v>
      </x:c>
      <x:c r="R25" s="43" t="str">
        <x:v>A strong learner can write a prediction, collect speed data, explain the trend, and apply it to a new case.</x:v>
      </x:c>
    </x:row>
    <x:row r="26">
      <x:c r="A26" s="42" t="n">
        <x:v>22</x:v>
      </x:c>
      <x:c r="B26" s="43" t="str">
        <x:v>Fluid Mechanics</x:v>
      </x:c>
      <x:c r="C26" s="43" t="str">
        <x:v>Motion, Force, and Work • Matter, Thermal Physics, Oscillations, and Waves</x:v>
      </x:c>
      <x:c r="D26" s="43" t="str">
        <x:v>Floatation and Buoyancy • Solids and Fluids</x:v>
      </x:c>
      <x:c r="E26" s="43" t="str">
        <x:v>Buoyancy</x:v>
      </x:c>
      <x:c r="F26" s="43" t="str">
        <x:v>buoyancy</x:v>
      </x:c>
      <x:c r="G26" s="43" t="str">
        <x:v>High school / undergraduate foundation</x:v>
      </x:c>
      <x:c r="H26" s="43" t="str">
        <x:v>Beginner</x:v>
      </x:c>
      <x:c r="I26" s="43" t="str">
        <x:v>Fluid Mechanics</x:v>
      </x:c>
      <x:c r="J26" s="43" t="str">
        <x:v>Compare floating and sinking using Archimedes' principle.</x:v>
      </x:c>
      <x:c r="K26" s="43" t="str">
        <x:v>An immersed object experiences an upward force equal to the weight of displaced fluid.</x:v>
      </x:c>
      <x:c r="L26" s="43" t="str"/>
      <x:c r="M26" s="43" t="str">
        <x:v>Fluid region • Wood block • Steel block</x:v>
      </x:c>
      <x:c r="N26" s="43" t="str">
        <x:v>Wood tends to float in water, while steel sinks.</x:v>
      </x:c>
      <x:c r="O26" s="42" t="n">
        <x:v>83</x:v>
      </x:c>
      <x:c r="P26" s="43" t="str">
        <x:v>Measurement skill</x:v>
      </x:c>
      <x:c r="Q26" s="43" t="str">
        <x:v>How can we use buoyancy to predict density before reading the answer?</x:v>
      </x:c>
      <x:c r="R26" s="43" t="str">
        <x:v>A strong learner can write a prediction, collect density data, explain the trend, and apply it to a new case.</x:v>
      </x:c>
    </x:row>
    <x:row r="27">
      <x:c r="A27" s="42" t="n">
        <x:v>23</x:v>
      </x:c>
      <x:c r="B27" s="43" t="str">
        <x:v>Fluid Mechanics</x:v>
      </x:c>
      <x:c r="C27" s="43" t="str">
        <x:v>Unmapped</x:v>
      </x:c>
      <x:c r="D27" s="43" t="str">
        <x:v>Unmapped</x:v>
      </x:c>
      <x:c r="E27" s="43" t="str">
        <x:v>Density Float-or-Sink Tank</x:v>
      </x:c>
      <x:c r="F27" s="43" t="str">
        <x:v>density-float-sink</x:v>
      </x:c>
      <x:c r="G27" s="43" t="str">
        <x:v>Class 8 / Class 9 / Class 11</x:v>
      </x:c>
      <x:c r="H27" s="43" t="str">
        <x:v>Beginner</x:v>
      </x:c>
      <x:c r="I27" s="43" t="str">
        <x:v>Fluid Mechanics</x:v>
      </x:c>
      <x:c r="J27" s="43" t="str">
        <x:v>Predict whether an object floats or sinks by comparing object density with liquid density.</x:v>
      </x:c>
      <x:c r="K27" s="43" t="str">
        <x:v>An object floats if its average density is less than the fluid density, and sinks if it is greater.</x:v>
      </x:c>
      <x:c r="L27" s="43" t="str">
        <x:v>Floating fraction: \frac{V_{sub}}{V}=\frac{\rho_{object}}{\rho_{fluid}}</x:v>
      </x:c>
      <x:c r="M27" s="43" t="str">
        <x:v>Fluid tank • Test block • Density slider • Submerged fraction meter</x:v>
      </x:c>
      <x:c r="N27" s="43" t="str">
        <x:v>Objects less dense than the fluid float partially submerged; denser objects sink.</x:v>
      </x:c>
      <x:c r="O27" s="42" t="n">
        <x:v>86</x:v>
      </x:c>
      <x:c r="P27" s="43" t="str">
        <x:v>Misconception repair</x:v>
      </x:c>
      <x:c r="Q27" s="43" t="str">
        <x:v>How can we use density float-or-sink tank to predict object density before reading the answer?</x:v>
      </x:c>
      <x:c r="R27" s="43" t="str">
        <x:v>A strong learner can write a prediction, collect object density data, explain the trend, and apply it to a new case.</x:v>
      </x:c>
    </x:row>
    <x:row r="28">
      <x:c r="A28" s="42" t="n">
        <x:v>24</x:v>
      </x:c>
      <x:c r="B28" s="43" t="str">
        <x:v>Fluid Mechanics</x:v>
      </x:c>
      <x:c r="C28" s="43" t="str">
        <x:v>Force and Pressure • Matter, Thermal Physics, Oscillations, and Waves</x:v>
      </x:c>
      <x:c r="D28" s="43" t="str">
        <x:v>Pressure in Solids and Fluids • Solids and Fluids</x:v>
      </x:c>
      <x:c r="E28" s="43" t="str">
        <x:v>Fluid Pressure with Depth</x:v>
      </x:c>
      <x:c r="F28" s="43" t="str">
        <x:v>fluid-pressure</x:v>
      </x:c>
      <x:c r="G28" s="43" t="str">
        <x:v>Class 8 / Class 11</x:v>
      </x:c>
      <x:c r="H28" s="43" t="str">
        <x:v>Beginner</x:v>
      </x:c>
      <x:c r="I28" s="43" t="str">
        <x:v>Fluid Mechanics</x:v>
      </x:c>
      <x:c r="J28" s="43" t="str">
        <x:v>Observe how liquid pressure changes with density and depth.</x:v>
      </x:c>
      <x:c r="K28" s="43" t="str">
        <x:v>Gauge pressure in a liquid is rho gh, so it grows linearly with depth.</x:v>
      </x:c>
      <x:c r="L28" s="43" t="str">
        <x:v>Hydrostatic pressure: P = P_0 + \rho gh</x:v>
      </x:c>
      <x:c r="M28" s="43" t="str">
        <x:v>Fluid tank • Depth marker • Pressure gauge</x:v>
      </x:c>
      <x:c r="N28" s="43" t="str">
        <x:v>Pressure rises linearly as the sensor moves deeper.</x:v>
      </x:c>
      <x:c r="O28" s="42" t="n">
        <x:v>86</x:v>
      </x:c>
      <x:c r="P28" s="43" t="str">
        <x:v>Misconception repair</x:v>
      </x:c>
      <x:c r="Q28" s="43" t="str">
        <x:v>How can we use fluid pressure with depth to predict density before reading the answer?</x:v>
      </x:c>
      <x:c r="R28" s="43" t="str">
        <x:v>A strong learner can write a prediction, collect density data, explain the trend, and apply it to a new case.</x:v>
      </x:c>
    </x:row>
    <x:row r="29">
      <x:c r="A29" s="42" t="n">
        <x:v>25</x:v>
      </x:c>
      <x:c r="B29" s="43" t="str">
        <x:v>Fluid Mechanics</x:v>
      </x:c>
      <x:c r="C29" s="43" t="str">
        <x:v>Force and Pressure</x:v>
      </x:c>
      <x:c r="D29" s="43" t="str">
        <x:v>Effects of Force • Pressure in Solids and Fluids</x:v>
      </x:c>
      <x:c r="E29" s="43" t="str">
        <x:v>Force and Pressure</x:v>
      </x:c>
      <x:c r="F29" s="43" t="str">
        <x:v>force-and-pressure</x:v>
      </x:c>
      <x:c r="G29" s="43" t="str">
        <x:v>Class 8</x:v>
      </x:c>
      <x:c r="H29" s="43" t="str">
        <x:v>Beginner</x:v>
      </x:c>
      <x:c r="I29" s="43" t="str">
        <x:v>Fluid Mechanics • Mechanics</x:v>
      </x:c>
      <x:c r="J29" s="43" t="str">
        <x:v>Compare pressure from force over area and pressure due to liquid depth.</x:v>
      </x:c>
      <x:c r="K29" s="43" t="str">
        <x:v>Pressure is force per unit area; liquid pressure also increases with depth.</x:v>
      </x:c>
      <x:c r="L29" s="43" t="str">
        <x:v>Pressure: P = \frac{F}{A}</x:v>
      </x:c>
      <x:c r="M29" s="43" t="str">
        <x:v>Block • Fluid region • Pressure gauge • Ruler</x:v>
      </x:c>
      <x:c r="N29" s="43" t="str">
        <x:v>Pressure increases with force and depth, and decreases with larger area.</x:v>
      </x:c>
      <x:c r="O29" s="42" t="n">
        <x:v>91</x:v>
      </x:c>
      <x:c r="P29" s="43" t="str">
        <x:v>Misconception repair</x:v>
      </x:c>
      <x:c r="Q29" s="43" t="str">
        <x:v>How can we use force and pressure to predict force before reading the answer?</x:v>
      </x:c>
      <x:c r="R29" s="43" t="str">
        <x:v>A strong learner can write a prediction, collect force data, explain the trend, and apply it to a new case.</x:v>
      </x:c>
    </x:row>
    <x:row r="30">
      <x:c r="A30" s="42" t="n">
        <x:v>26</x:v>
      </x:c>
      <x:c r="B30" s="43" t="str">
        <x:v>Magnetism</x:v>
      </x:c>
      <x:c r="C30" s="43" t="str">
        <x:v>Electric Current and Its Effects • Effects of Current</x:v>
      </x:c>
      <x:c r="D30" s="43" t="str">
        <x:v>Magnetic Effect and Electromagnet • Magnetic Effects of Current</x:v>
      </x:c>
      <x:c r="E30" s="43" t="str">
        <x:v>Electromagnet</x:v>
      </x:c>
      <x:c r="F30" s="43" t="str">
        <x:v>electromagnet</x:v>
      </x:c>
      <x:c r="G30" s="43" t="str">
        <x:v>Class 7 / Class 10</x:v>
      </x:c>
      <x:c r="H30" s="43" t="str">
        <x:v>Beginner</x:v>
      </x:c>
      <x:c r="I30" s="43" t="str">
        <x:v>Magnetism • Electricity</x:v>
      </x:c>
      <x:c r="J30" s="43" t="str">
        <x:v>Build a current-controlled magnet and compare the effect of turns, current, and core material.</x:v>
      </x:c>
      <x:c r="K30" s="43" t="str">
        <x:v>A coil carrying current produces a magnetic field; an iron core concentrates the field.</x:v>
      </x:c>
      <x:c r="L30" s="43" t="str">
        <x:v>Relative coil strength: B \propto NI</x:v>
      </x:c>
      <x:c r="M30" s="43" t="str">
        <x:v>Battery • Coil • Iron core • Switch • Compass</x:v>
      </x:c>
      <x:c r="N30" s="43" t="str">
        <x:v>More turns, more current, and a stronger core produce a stronger electromagnet.</x:v>
      </x:c>
      <x:c r="O30" s="42" t="n">
        <x:v>89</x:v>
      </x:c>
      <x:c r="P30" s="43" t="str">
        <x:v>Misconception repair</x:v>
      </x:c>
      <x:c r="Q30" s="43" t="str">
        <x:v>How can we use electromagnet to predict current before reading the answer?</x:v>
      </x:c>
      <x:c r="R30" s="43" t="str">
        <x:v>A strong learner can write a prediction, collect current data, explain the trend, and apply it to a new case.</x:v>
      </x:c>
    </x:row>
    <x:row r="31">
      <x:c r="A31" s="42" t="n">
        <x:v>27</x:v>
      </x:c>
      <x:c r="B31" s="43" t="str">
        <x:v>Magnetism</x:v>
      </x:c>
      <x:c r="C31" s="43" t="str">
        <x:v>Electricity and Magnetism</x:v>
      </x:c>
      <x:c r="D31" s="43" t="str">
        <x:v>Moving Charges and Magnetism</x:v>
      </x:c>
      <x:c r="E31" s="43" t="str">
        <x:v>Lorentz Force on Moving Charge</x:v>
      </x:c>
      <x:c r="F31" s="43" t="str">
        <x:v>lorentz-force</x:v>
      </x:c>
      <x:c r="G31" s="43" t="str">
        <x:v>Class 12</x:v>
      </x:c>
      <x:c r="H31" s="43" t="str">
        <x:v>Intermediate</x:v>
      </x:c>
      <x:c r="I31" s="43" t="str">
        <x:v>Magnetism</x:v>
      </x:c>
      <x:c r="J31" s="43" t="str">
        <x:v>Calculate magnetic force and circular radius for a moving charged particle.</x:v>
      </x:c>
      <x:c r="K31" s="43" t="str">
        <x:v>A charge moving perpendicular to a magnetic field experiences force qvB and follows circular motion.</x:v>
      </x:c>
      <x:c r="L31" s="43" t="str">
        <x:v>Magnetic force: F=qvB</x:v>
      </x:c>
      <x:c r="M31" s="43" t="str">
        <x:v>Charge • Magnetic field • Velocity arrow</x:v>
      </x:c>
      <x:c r="N31" s="43" t="str">
        <x:v>Force increases linearly with charge, speed, and magnetic field strength.</x:v>
      </x:c>
      <x:c r="O31" s="42" t="n">
        <x:v>89</x:v>
      </x:c>
      <x:c r="P31" s="43" t="str">
        <x:v>Misconception repair</x:v>
      </x:c>
      <x:c r="Q31" s="43" t="str">
        <x:v>How can we use lorentz force on moving charge to predict speed before reading the answer?</x:v>
      </x:c>
      <x:c r="R31" s="43" t="str">
        <x:v>A strong learner can write a prediction, collect speed data, explain the trend, and apply it to a new case.</x:v>
      </x:c>
    </x:row>
    <x:row r="32">
      <x:c r="A32" s="42" t="n">
        <x:v>28</x:v>
      </x:c>
      <x:c r="B32" s="43" t="str">
        <x:v>Magnetism</x:v>
      </x:c>
      <x:c r="C32" s="43" t="str">
        <x:v>Light, Motion, Electricity • Effects of Current • Electricity and Magnetism</x:v>
      </x:c>
      <x:c r="D32" s="43" t="str">
        <x:v>Magnets • Magnetic Effects of Current • Moving Charges and Magnetism</x:v>
      </x:c>
      <x:c r="E32" s="43" t="str">
        <x:v>Magnetic Field Around Current</x:v>
      </x:c>
      <x:c r="F32" s="43" t="str">
        <x:v>magnetic-field-current</x:v>
      </x:c>
      <x:c r="G32" s="43" t="str">
        <x:v>Class 10 / Class 12</x:v>
      </x:c>
      <x:c r="H32" s="43" t="str">
        <x:v>Intermediate</x:v>
      </x:c>
      <x:c r="I32" s="43" t="str">
        <x:v>Magnetism</x:v>
      </x:c>
      <x:c r="J32" s="43" t="str">
        <x:v>Visualize magnetic field strength around a wire and coil as current changes.</x:v>
      </x:c>
      <x:c r="K32" s="43" t="str">
        <x:v>A current-carrying conductor produces circular magnetic field lines; field strength increases with current.</x:v>
      </x:c>
      <x:c r="L32" s="43" t="str">
        <x:v>Straight wire field: B = \frac{\mu_0 I}{2\pi r}</x:v>
      </x:c>
      <x:c r="M32" s="43" t="str">
        <x:v>Current wire • Compass • Battery • Coil</x:v>
      </x:c>
      <x:c r="N32" s="43" t="str">
        <x:v>Field increases with current and coil turns, and decreases with distance.</x:v>
      </x:c>
      <x:c r="O32" s="42" t="n">
        <x:v>89</x:v>
      </x:c>
      <x:c r="P32" s="43" t="str">
        <x:v>Misconception repair</x:v>
      </x:c>
      <x:c r="Q32" s="43" t="str">
        <x:v>How can we use magnetic field around current to predict distance before reading the answer?</x:v>
      </x:c>
      <x:c r="R32" s="43" t="str">
        <x:v>A strong learner can write a prediction, collect distance data, explain the trend, and apply it to a new case.</x:v>
      </x:c>
    </x:row>
    <x:row r="33">
      <x:c r="A33" s="42" t="n">
        <x:v>29</x:v>
      </x:c>
      <x:c r="B33" s="43" t="str">
        <x:v>Measurement</x:v>
      </x:c>
      <x:c r="C33" s="43" t="str">
        <x:v>Research Lanes</x:v>
      </x:c>
      <x:c r="D33" s="43" t="str">
        <x:v>Computational Physics</x:v>
      </x:c>
      <x:c r="E33" s="43" t="str">
        <x:v>Computational Physics Workflow</x:v>
      </x:c>
      <x:c r="F33" s="43" t="str">
        <x:v>computational-physics-workflow</x:v>
      </x:c>
      <x:c r="G33" s="43" t="str">
        <x:v>PhD</x:v>
      </x:c>
      <x:c r="H33" s="43" t="str">
        <x:v>Advanced</x:v>
      </x:c>
      <x:c r="I33" s="43" t="str">
        <x:v>Measurement</x:v>
      </x:c>
      <x:c r="J33" s="43" t="str">
        <x:v>Build a small reproducible physics workflow: choose a model, step size, uncertainty, graph, and verification rule.</x:v>
      </x:c>
      <x:c r="K33" s="43" t="str">
        <x:v>Computational physics depends on model assumptions, numerical stability, convergence checks, and uncertainty reporting as much as raw output.</x:v>
      </x:c>
      <x:c r="L33" s="43" t="str">
        <x:v>Relative error: \epsilon=\left|\frac{x_{num}-x_{ref}}{x_{ref}}\right|</x:v>
      </x:c>
      <x:c r="M33" s="43" t="str">
        <x:v>Solver • Graph plotter • Notebook • Error meter</x:v>
      </x:c>
      <x:c r="N33" s="43" t="str">
        <x:v>A stable workflow shows error shrinking with smaller step size and keeps enough metadata to reproduce the result.</x:v>
      </x:c>
      <x:c r="O33" s="42" t="n">
        <x:v>85</x:v>
      </x:c>
      <x:c r="P33" s="43" t="str">
        <x:v>Misconception repair</x:v>
      </x:c>
      <x:c r="Q33" s="43" t="str">
        <x:v>How can we use computational physics workflow to predict step size before reading the answer?</x:v>
      </x:c>
      <x:c r="R33" s="43" t="str">
        <x:v>A strong learner can write a prediction, collect step size data, explain the trend, and apply it to a new case.</x:v>
      </x:c>
    </x:row>
    <x:row r="34">
      <x:c r="A34" s="42" t="n">
        <x:v>30</x:v>
      </x:c>
      <x:c r="B34" s="43" t="str">
        <x:v>Measurement</x:v>
      </x:c>
      <x:c r="C34" s="43" t="str">
        <x:v>Light, Motion, Electricity • Measurement and Kinematics</x:v>
      </x:c>
      <x:c r="D34" s="43" t="str">
        <x:v>Motion and Measurement • Units, Dimensions, and Errors</x:v>
      </x:c>
      <x:c r="E34" s="43" t="str">
        <x:v>Measurement, Error, and Significant Figures</x:v>
      </x:c>
      <x:c r="F34" s="43" t="str">
        <x:v>measurement-errors</x:v>
      </x:c>
      <x:c r="G34" s="43" t="str">
        <x:v>Class 11</x:v>
      </x:c>
      <x:c r="H34" s="43" t="str">
        <x:v>Beginner</x:v>
      </x:c>
      <x:c r="I34" s="43" t="str">
        <x:v>Measurement</x:v>
      </x:c>
      <x:c r="J34" s="43" t="str">
        <x:v>Estimate absolute, relative, and percentage error from repeated measurements.</x:v>
      </x:c>
      <x:c r="K34" s="43" t="str">
        <x:v>Reliable physics measurements include uncertainty, least count, and significant figures.</x:v>
      </x:c>
      <x:c r="L34" s="43" t="str">
        <x:v>Percentage error: \%\ error = \frac{\Delta x}{x}\times 100</x:v>
      </x:c>
      <x:c r="M34" s="43" t="str">
        <x:v>Vernier caliper • Screw gauge • Error table</x:v>
      </x:c>
      <x:c r="N34" s="43" t="str">
        <x:v>Smaller least count and repeated readings reduce uncertainty in the final reported value.</x:v>
      </x:c>
      <x:c r="O34" s="42" t="n">
        <x:v>86</x:v>
      </x:c>
      <x:c r="P34" s="43" t="str">
        <x:v>Misconception repair</x:v>
      </x:c>
      <x:c r="Q34" s="43" t="str">
        <x:v>How can we use measurement, error, and significant figures to predict mean before reading the answer?</x:v>
      </x:c>
      <x:c r="R34" s="43" t="str">
        <x:v>A strong learner can write a prediction, collect mean data, explain the trend, and apply it to a new case.</x:v>
      </x:c>
    </x:row>
    <x:row r="35">
      <x:c r="A35" s="42" t="n">
        <x:v>31</x:v>
      </x:c>
      <x:c r="B35" s="43" t="str">
        <x:v>Mechanics</x:v>
      </x:c>
      <x:c r="C35" s="43" t="str">
        <x:v>Unmapped</x:v>
      </x:c>
      <x:c r="D35" s="43" t="str">
        <x:v>Unmapped</x:v>
      </x:c>
      <x:c r="E35" s="43" t="str">
        <x:v>Balanced and Unbalanced Forces</x:v>
      </x:c>
      <x:c r="F35" s="43" t="str">
        <x:v>balanced-unbalanced-forces</x:v>
      </x:c>
      <x:c r="G35" s="43" t="str">
        <x:v>Class 8 / Class 9</x:v>
      </x:c>
      <x:c r="H35" s="43" t="str">
        <x:v>Beginner</x:v>
      </x:c>
      <x:c r="I35" s="43" t="str">
        <x:v>Mechanics</x:v>
      </x:c>
      <x:c r="J35" s="43" t="str">
        <x:v>Compare left and right forces and predict whether an object stays still, moves steadily, or accelerates.</x:v>
      </x:c>
      <x:c r="K35" s="43" t="str">
        <x:v>Balanced forces give zero net force and no change in velocity. Unbalanced forces cause acceleration in the direction of net force.</x:v>
      </x:c>
      <x:c r="L35" s="43" t="str">
        <x:v>Net force and acceleration: F_{net}=F_R-F_L,\quad a=\frac{F_{net}}{m}</x:v>
      </x:c>
      <x:c r="M35" s="43" t="str">
        <x:v>Tug cart • Force arrows • Mass block • Motion trail</x:v>
      </x:c>
      <x:c r="N35" s="43" t="str">
        <x:v>Equal opposite forces produce zero acceleration; unequal forces accelerate the object toward the larger force.</x:v>
      </x:c>
      <x:c r="O35" s="42" t="n">
        <x:v>91</x:v>
      </x:c>
      <x:c r="P35" s="43" t="str">
        <x:v>Misconception repair</x:v>
      </x:c>
      <x:c r="Q35" s="43" t="str">
        <x:v>How can we use balanced and unbalanced forces to predict right force before reading the answer?</x:v>
      </x:c>
      <x:c r="R35" s="43" t="str">
        <x:v>A strong learner can write a prediction, collect right force data, explain the trend, and apply it to a new case.</x:v>
      </x:c>
    </x:row>
    <x:row r="36">
      <x:c r="A36" s="42" t="n">
        <x:v>32</x:v>
      </x:c>
      <x:c r="B36" s="43" t="str">
        <x:v>Mechanics</x:v>
      </x:c>
      <x:c r="C36" s="43" t="str">
        <x:v>Measurement and Kinematics</x:v>
      </x:c>
      <x:c r="D36" s="43" t="str">
        <x:v>Motion in a Plane</x:v>
      </x:c>
      <x:c r="E36" s="43" t="str">
        <x:v>Circular Motion</x:v>
      </x:c>
      <x:c r="F36" s="43" t="str">
        <x:v>circular-motion</x:v>
      </x:c>
      <x:c r="G36" s="43" t="str">
        <x:v>High school / undergraduate foundation</x:v>
      </x:c>
      <x:c r="H36" s="43" t="str">
        <x:v>Intermediate</x:v>
      </x:c>
      <x:c r="I36" s="43" t="str">
        <x:v>Mechanics</x:v>
      </x:c>
      <x:c r="J36" s="43" t="str">
        <x:v>Explore circular motion with editable variables and live measurements.</x:v>
      </x:c>
      <x:c r="K36" s="43" t="str">
        <x:v>This starter experiment uses the common lab workspace, object properties, vectors, graphs, and observation table.</x:v>
      </x:c>
      <x:c r="L36" s="43" t="str">
        <x:v>Centripetal force: F_c = mr\omega^2</x:v>
      </x:c>
      <x:c r="M36" s="43" t="str">
        <x:v>Physics canvas • Graph plotter • Data logger • Measurement probe</x:v>
      </x:c>
      <x:c r="N36" s="43" t="str">
        <x:v>Measured behavior should follow the standard SI-unit physics model for the chosen topic.</x:v>
      </x:c>
      <x:c r="O36" s="42" t="n">
        <x:v>90</x:v>
      </x:c>
      <x:c r="P36" s="43" t="str">
        <x:v>Misconception repair</x:v>
      </x:c>
      <x:c r="Q36" s="43" t="str">
        <x:v>How can we use circular motion to predict variable before reading the answer?</x:v>
      </x:c>
      <x:c r="R36" s="43" t="str">
        <x:v>A strong learner can write a prediction, collect variable data, explain the trend, and apply it to a new case.</x:v>
      </x:c>
    </x:row>
    <x:row r="37">
      <x:c r="A37" s="42" t="n">
        <x:v>33</x:v>
      </x:c>
      <x:c r="B37" s="43" t="str">
        <x:v>Mechanics</x:v>
      </x:c>
      <x:c r="C37" s="43" t="str">
        <x:v>Motion, Force, and Work • Laws, Energy, Rotation, and Gravitation</x:v>
      </x:c>
      <x:c r="D37" s="43" t="str">
        <x:v>Work, Energy, and Power • Work, Energy, Power, and Collisions</x:v>
      </x:c>
      <x:c r="E37" s="43" t="str">
        <x:v>Conservation of Energy</x:v>
      </x:c>
      <x:c r="F37" s="43" t="str">
        <x:v>conservation-of-energy</x:v>
      </x:c>
      <x:c r="G37" s="43" t="str">
        <x:v>High school / undergraduate foundation</x:v>
      </x:c>
      <x:c r="H37" s="43" t="str">
        <x:v>Intermediate</x:v>
      </x:c>
      <x:c r="I37" s="43" t="str">
        <x:v>Mechanics</x:v>
      </x:c>
      <x:c r="J37" s="43" t="str">
        <x:v>Explore conservation of energy with editable variables and live measurements.</x:v>
      </x:c>
      <x:c r="K37" s="43" t="str">
        <x:v>This starter experiment uses the common lab workspace, object properties, vectors, graphs, and observation table.</x:v>
      </x:c>
      <x:c r="L37" s="43" t="str">
        <x:v>Mechanical energy: E = \frac{1}{2}mv^2 + mgh</x:v>
      </x:c>
      <x:c r="M37" s="43" t="str">
        <x:v>Physics canvas • Graph plotter • Data logger • Measurement probe</x:v>
      </x:c>
      <x:c r="N37" s="43" t="str">
        <x:v>Measured behavior should follow the standard SI-unit physics model for the chosen topic.</x:v>
      </x:c>
      <x:c r="O37" s="42" t="n">
        <x:v>90</x:v>
      </x:c>
      <x:c r="P37" s="43" t="str">
        <x:v>Misconception repair</x:v>
      </x:c>
      <x:c r="Q37" s="43" t="str">
        <x:v>How can we use conservation of energy to predict variable before reading the answer?</x:v>
      </x:c>
      <x:c r="R37" s="43" t="str">
        <x:v>A strong learner can write a prediction, collect variable data, explain the trend, and apply it to a new case.</x:v>
      </x:c>
    </x:row>
    <x:row r="38">
      <x:c r="A38" s="42" t="n">
        <x:v>34</x:v>
      </x:c>
      <x:c r="B38" s="43" t="str">
        <x:v>Mechanics</x:v>
      </x:c>
      <x:c r="C38" s="43" t="str">
        <x:v>Unmapped</x:v>
      </x:c>
      <x:c r="D38" s="43" t="str">
        <x:v>Unmapped</x:v>
      </x:c>
      <x:c r="E38" s="43" t="str">
        <x:v>Distance-Time Graph Builder</x:v>
      </x:c>
      <x:c r="F38" s="43" t="str">
        <x:v>distance-time-graph</x:v>
      </x:c>
      <x:c r="G38" s="43" t="str">
        <x:v>Class 7 / Class 9</x:v>
      </x:c>
      <x:c r="H38" s="43" t="str">
        <x:v>Beginner</x:v>
      </x:c>
      <x:c r="I38" s="43" t="str">
        <x:v>Mechanics</x:v>
      </x:c>
      <x:c r="J38" s="43" t="str">
        <x:v>Build a distance-time graph and connect slope with speed.</x:v>
      </x:c>
      <x:c r="K38" s="43" t="str">
        <x:v>On a distance-time graph, slope equals speed. A steeper straight line means faster uniform motion, while a horizontal line means rest.</x:v>
      </x:c>
      <x:c r="L38" s="43" t="str">
        <x:v>Graph speed: v=\frac{\Delta s}{\Delta t}</x:v>
      </x:c>
      <x:c r="M38" s="43" t="str">
        <x:v>Motion track • Timer • Distance-time graph • Slope ruler</x:v>
      </x:c>
      <x:c r="N38" s="43" t="str">
        <x:v>Distance increases linearly for uniform motion, and graph slope equals speed.</x:v>
      </x:c>
      <x:c r="O38" s="42" t="n">
        <x:v>86</x:v>
      </x:c>
      <x:c r="P38" s="43" t="str">
        <x:v>Misconception repair</x:v>
      </x:c>
      <x:c r="Q38" s="43" t="str">
        <x:v>How can we use distance-time graph builder to predict time before reading the answer?</x:v>
      </x:c>
      <x:c r="R38" s="43" t="str">
        <x:v>A strong learner can write a prediction, collect time data, explain the trend, and apply it to a new case.</x:v>
      </x:c>
    </x:row>
    <x:row r="39">
      <x:c r="A39" s="42" t="n">
        <x:v>35</x:v>
      </x:c>
      <x:c r="B39" s="43" t="str">
        <x:v>Mechanics</x:v>
      </x:c>
      <x:c r="C39" s="43" t="str">
        <x:v>Motion, Force, and Work • Laws, Energy, Rotation, and Gravitation</x:v>
      </x:c>
      <x:c r="D39" s="43" t="str">
        <x:v>Force and Newton's Laws • Laws of Motion • Work, Energy, Power, and Collisions</x:v>
      </x:c>
      <x:c r="E39" s="43" t="str">
        <x:v>Elastic Collision</x:v>
      </x:c>
      <x:c r="F39" s="43" t="str">
        <x:v>elastic-collision</x:v>
      </x:c>
      <x:c r="G39" s="43" t="str">
        <x:v>High school / undergraduate foundation</x:v>
      </x:c>
      <x:c r="H39" s="43" t="str">
        <x:v>Intermediate</x:v>
      </x:c>
      <x:c r="I39" s="43" t="str">
        <x:v>Mechanics</x:v>
      </x:c>
      <x:c r="J39" s="43" t="str">
        <x:v>Explore elastic collision with editable variables and live measurements.</x:v>
      </x:c>
      <x:c r="K39" s="43" t="str">
        <x:v>This starter experiment uses the common lab workspace, object properties, vectors, graphs, and observation table.</x:v>
      </x:c>
      <x:c r="L39" s="43" t="str">
        <x:v>Momentum conservation: m_1u_1 + m_2u_2 = m_1v_1 + m_2v_2</x:v>
      </x:c>
      <x:c r="M39" s="43" t="str">
        <x:v>Physics canvas • Graph plotter • Data logger • Measurement probe</x:v>
      </x:c>
      <x:c r="N39" s="43" t="str">
        <x:v>Measured behavior should follow the standard SI-unit physics model for the chosen topic.</x:v>
      </x:c>
      <x:c r="O39" s="42" t="n">
        <x:v>90</x:v>
      </x:c>
      <x:c r="P39" s="43" t="str">
        <x:v>Misconception repair</x:v>
      </x:c>
      <x:c r="Q39" s="43" t="str">
        <x:v>How can we use elastic collision to predict variable before reading the answer?</x:v>
      </x:c>
      <x:c r="R39" s="43" t="str">
        <x:v>A strong learner can write a prediction, collect variable data, explain the trend, and apply it to a new case.</x:v>
      </x:c>
    </x:row>
    <x:row r="40">
      <x:c r="A40" s="42" t="n">
        <x:v>36</x:v>
      </x:c>
      <x:c r="B40" s="43" t="str">
        <x:v>Mechanics</x:v>
      </x:c>
      <x:c r="C40" s="43" t="str">
        <x:v>Motion, Force, and Work • Measurement and Kinematics</x:v>
      </x:c>
      <x:c r="D40" s="43" t="str">
        <x:v>Gravitation and Free Fall • Motion in a Straight Line</x:v>
      </x:c>
      <x:c r="E40" s="43" t="str">
        <x:v>Free Fall</x:v>
      </x:c>
      <x:c r="F40" s="43" t="str">
        <x:v>free-fall</x:v>
      </x:c>
      <x:c r="G40" s="43" t="str">
        <x:v>Class 9 / Class 11</x:v>
      </x:c>
      <x:c r="H40" s="43" t="str">
        <x:v>Beginner</x:v>
      </x:c>
      <x:c r="I40" s="43" t="str">
        <x:v>Mechanics</x:v>
      </x:c>
      <x:c r="J40" s="43" t="str">
        <x:v>Study motion under gravity and calculate impact speed and time of fall.</x:v>
      </x:c>
      <x:c r="K40" s="43" t="str">
        <x:v>For ideal free fall, acceleration is constant and equal to g downward.</x:v>
      </x:c>
      <x:c r="L40" s="43" t="str">
        <x:v>Free fall: v^2 = u^2 + 2gh</x:v>
      </x:c>
      <x:c r="M40" s="43" t="str">
        <x:v>Ball • Stopwatch • Height scale • Motion sensor</x:v>
      </x:c>
      <x:c r="N40" s="43" t="str">
        <x:v>For rest drops, fall time varies with square root of height.</x:v>
      </x:c>
      <x:c r="O40" s="42" t="n">
        <x:v>95</x:v>
      </x:c>
      <x:c r="P40" s="43" t="str">
        <x:v>Misconception repair</x:v>
      </x:c>
      <x:c r="Q40" s="43" t="str">
        <x:v>How can we use free fall to predict initial speed before reading the answer?</x:v>
      </x:c>
      <x:c r="R40" s="43" t="str">
        <x:v>A strong learner can write a prediction, collect initial speed data, explain the trend, and apply it to a new case.</x:v>
      </x:c>
    </x:row>
    <x:row r="41">
      <x:c r="A41" s="42" t="n">
        <x:v>37</x:v>
      </x:c>
      <x:c r="B41" s="43" t="str">
        <x:v>Mechanics</x:v>
      </x:c>
      <x:c r="C41" s="43" t="str">
        <x:v>Friction, Sound, and Light • Laws, Energy, Rotation, and Gravitation</x:v>
      </x:c>
      <x:c r="D41" s="43" t="str">
        <x:v>Friction • Laws of Motion</x:v>
      </x:c>
      <x:c r="E41" s="43" t="str">
        <x:v>Friction</x:v>
      </x:c>
      <x:c r="F41" s="43" t="str">
        <x:v>friction</x:v>
      </x:c>
      <x:c r="G41" s="43" t="str">
        <x:v>High school / undergraduate foundation</x:v>
      </x:c>
      <x:c r="H41" s="43" t="str">
        <x:v>Beginner</x:v>
      </x:c>
      <x:c r="I41" s="43" t="str">
        <x:v>Mechanics</x:v>
      </x:c>
      <x:c r="J41" s="43" t="str">
        <x:v>Explore friction with editable variables and live measurements.</x:v>
      </x:c>
      <x:c r="K41" s="43" t="str">
        <x:v>This starter experiment uses the common lab workspace, object properties, vectors, graphs, and observation table.</x:v>
      </x:c>
      <x:c r="L41" s="43" t="str">
        <x:v>Kinetic friction: f = \mu N</x:v>
      </x:c>
      <x:c r="M41" s="43" t="str">
        <x:v>Physics canvas • Graph plotter • Data logger • Measurement probe</x:v>
      </x:c>
      <x:c r="N41" s="43" t="str">
        <x:v>Measured behavior should follow the standard SI-unit physics model for the chosen topic.</x:v>
      </x:c>
      <x:c r="O41" s="42" t="n">
        <x:v>90</x:v>
      </x:c>
      <x:c r="P41" s="43" t="str">
        <x:v>Misconception repair</x:v>
      </x:c>
      <x:c r="Q41" s="43" t="str">
        <x:v>How can we use friction to predict variable before reading the answer?</x:v>
      </x:c>
      <x:c r="R41" s="43" t="str">
        <x:v>A strong learner can write a prediction, collect variable data, explain the trend, and apply it to a new case.</x:v>
      </x:c>
    </x:row>
    <x:row r="42">
      <x:c r="A42" s="42" t="n">
        <x:v>38</x:v>
      </x:c>
      <x:c r="B42" s="43" t="str">
        <x:v>Mechanics</x:v>
      </x:c>
      <x:c r="C42" s="43" t="str">
        <x:v>Matter, Thermal Physics, Oscillations, and Waves</x:v>
      </x:c>
      <x:c r="D42" s="43" t="str">
        <x:v>Solids and Fluids</x:v>
      </x:c>
      <x:c r="E42" s="43" t="str">
        <x:v>Hooke's Law</x:v>
      </x:c>
      <x:c r="F42" s="43" t="str">
        <x:v>hooke-s-law</x:v>
      </x:c>
      <x:c r="G42" s="43" t="str">
        <x:v>High school / undergraduate foundation</x:v>
      </x:c>
      <x:c r="H42" s="43" t="str">
        <x:v>Intermediate</x:v>
      </x:c>
      <x:c r="I42" s="43" t="str">
        <x:v>Mechanics</x:v>
      </x:c>
      <x:c r="J42" s="43" t="str">
        <x:v>Explore hooke's law with editable variables and live measurements.</x:v>
      </x:c>
      <x:c r="K42" s="43" t="str">
        <x:v>This starter experiment uses the common lab workspace, object properties, vectors, graphs, and observation table.</x:v>
      </x:c>
      <x:c r="L42" s="43" t="str">
        <x:v>Hooke's law: F = -kx</x:v>
      </x:c>
      <x:c r="M42" s="43" t="str">
        <x:v>Physics canvas • Graph plotter • Data logger • Measurement probe</x:v>
      </x:c>
      <x:c r="N42" s="43" t="str">
        <x:v>Measured behavior should follow the standard SI-unit physics model for the chosen topic.</x:v>
      </x:c>
      <x:c r="O42" s="42" t="n">
        <x:v>90</x:v>
      </x:c>
      <x:c r="P42" s="43" t="str">
        <x:v>Misconception repair</x:v>
      </x:c>
      <x:c r="Q42" s="43" t="str">
        <x:v>How can we use hooke's law to predict variable before reading the answer?</x:v>
      </x:c>
      <x:c r="R42" s="43" t="str">
        <x:v>A strong learner can write a prediction, collect variable data, explain the trend, and apply it to a new case.</x:v>
      </x:c>
    </x:row>
    <x:row r="43">
      <x:c r="A43" s="42" t="n">
        <x:v>39</x:v>
      </x:c>
      <x:c r="B43" s="43" t="str">
        <x:v>Mechanics</x:v>
      </x:c>
      <x:c r="C43" s="43" t="str">
        <x:v>Friction, Sound, and Light • Motion, Force, and Work</x:v>
      </x:c>
      <x:c r="D43" s="43" t="str">
        <x:v>Friction • Work, Energy, and Power</x:v>
      </x:c>
      <x:c r="E43" s="43" t="str">
        <x:v>Inclined Plane</x:v>
      </x:c>
      <x:c r="F43" s="43" t="str">
        <x:v>inclined-plane</x:v>
      </x:c>
      <x:c r="G43" s="43" t="str">
        <x:v>High school / undergraduate foundation</x:v>
      </x:c>
      <x:c r="H43" s="43" t="str">
        <x:v>Intermediate</x:v>
      </x:c>
      <x:c r="I43" s="43" t="str">
        <x:v>Mechanics</x:v>
      </x:c>
      <x:c r="J43" s="43" t="str">
        <x:v>Explore inclined plane with editable variables and live measurements.</x:v>
      </x:c>
      <x:c r="K43" s="43" t="str">
        <x:v>This starter experiment uses the common lab workspace, object properties, vectors, graphs, and observation table.</x:v>
      </x:c>
      <x:c r="L43" s="43" t="str">
        <x:v>Incline acceleration: a = g(\sin\theta - \mu\cos\theta)</x:v>
      </x:c>
      <x:c r="M43" s="43" t="str">
        <x:v>Physics canvas • Graph plotter • Data logger • Measurement probe</x:v>
      </x:c>
      <x:c r="N43" s="43" t="str">
        <x:v>Measured behavior should follow the standard SI-unit physics model for the chosen topic.</x:v>
      </x:c>
      <x:c r="O43" s="42" t="n">
        <x:v>90</x:v>
      </x:c>
      <x:c r="P43" s="43" t="str">
        <x:v>Misconception repair</x:v>
      </x:c>
      <x:c r="Q43" s="43" t="str">
        <x:v>How can we use inclined plane to predict variable before reading the answer?</x:v>
      </x:c>
      <x:c r="R43" s="43" t="str">
        <x:v>A strong learner can write a prediction, collect variable data, explain the trend, and apply it to a new case.</x:v>
      </x:c>
    </x:row>
    <x:row r="44">
      <x:c r="A44" s="42" t="n">
        <x:v>40</x:v>
      </x:c>
      <x:c r="B44" s="43" t="str">
        <x:v>Mechanics</x:v>
      </x:c>
      <x:c r="C44" s="43" t="str">
        <x:v>Motion, Force, and Work</x:v>
      </x:c>
      <x:c r="D44" s="43" t="str">
        <x:v>Gravitation and Free Fall</x:v>
      </x:c>
      <x:c r="E44" s="43" t="str">
        <x:v>Mass and Weight</x:v>
      </x:c>
      <x:c r="F44" s="43" t="str">
        <x:v>mass-and-weight</x:v>
      </x:c>
      <x:c r="G44" s="43" t="str">
        <x:v>Class 9</x:v>
      </x:c>
      <x:c r="H44" s="43" t="str">
        <x:v>Beginner</x:v>
      </x:c>
      <x:c r="I44" s="43" t="str">
        <x:v>Mechanics</x:v>
      </x:c>
      <x:c r="J44" s="43" t="str">
        <x:v>Compare mass and weight across different gravitational fields.</x:v>
      </x:c>
      <x:c r="K44" s="43" t="str">
        <x:v>Mass is amount of matter; weight is gravitational force W = mg.</x:v>
      </x:c>
      <x:c r="L44" s="43" t="str">
        <x:v>Weight: W = mg</x:v>
      </x:c>
      <x:c r="M44" s="43" t="str">
        <x:v>Spring balance • Mass • Gravity selector</x:v>
      </x:c>
      <x:c r="N44" s="43" t="str">
        <x:v>Mass remains constant but weight changes when g changes.</x:v>
      </x:c>
      <x:c r="O44" s="42" t="n">
        <x:v>86</x:v>
      </x:c>
      <x:c r="P44" s="43" t="str">
        <x:v>Misconception repair</x:v>
      </x:c>
      <x:c r="Q44" s="43" t="str">
        <x:v>How can we use mass and weight to predict g before reading the answer?</x:v>
      </x:c>
      <x:c r="R44" s="43" t="str">
        <x:v>A strong learner can write a prediction, collect g data, explain the trend, and apply it to a new case.</x:v>
      </x:c>
    </x:row>
    <x:row r="45">
      <x:c r="A45" s="42" t="n">
        <x:v>41</x:v>
      </x:c>
      <x:c r="B45" s="43" t="str">
        <x:v>Mechanics</x:v>
      </x:c>
      <x:c r="C45" s="43" t="str">
        <x:v>Force and Pressure • Motion, Force, and Work • Laws, Energy, Rotation, and Gravitation</x:v>
      </x:c>
      <x:c r="D45" s="43" t="str">
        <x:v>Effects of Force • Force and Newton's Laws • Laws of Motion</x:v>
      </x:c>
      <x:c r="E45" s="43" t="str">
        <x:v>Newton's Second Law</x:v>
      </x:c>
      <x:c r="F45" s="43" t="str">
        <x:v>newton-s-second-law</x:v>
      </x:c>
      <x:c r="G45" s="43" t="str">
        <x:v>High school / undergraduate foundation</x:v>
      </x:c>
      <x:c r="H45" s="43" t="str">
        <x:v>Beginner</x:v>
      </x:c>
      <x:c r="I45" s="43" t="str">
        <x:v>Mechanics</x:v>
      </x:c>
      <x:c r="J45" s="43" t="str">
        <x:v>Explore newton's second law with editable variables and live measurements.</x:v>
      </x:c>
      <x:c r="K45" s="43" t="str">
        <x:v>This starter experiment uses the common lab workspace, object properties, vectors, graphs, and observation table.</x:v>
      </x:c>
      <x:c r="L45" s="43" t="str">
        <x:v>Newton's second law: F = ma</x:v>
      </x:c>
      <x:c r="M45" s="43" t="str">
        <x:v>Physics canvas • Graph plotter • Data logger • Measurement probe</x:v>
      </x:c>
      <x:c r="N45" s="43" t="str">
        <x:v>Measured behavior should follow the standard SI-unit physics model for the chosen topic.</x:v>
      </x:c>
      <x:c r="O45" s="42" t="n">
        <x:v>90</x:v>
      </x:c>
      <x:c r="P45" s="43" t="str">
        <x:v>Misconception repair</x:v>
      </x:c>
      <x:c r="Q45" s="43" t="str">
        <x:v>How can we use newton's second law to predict variable before reading the answer?</x:v>
      </x:c>
      <x:c r="R45" s="43" t="str">
        <x:v>A strong learner can write a prediction, collect variable data, explain the trend, and apply it to a new case.</x:v>
      </x:c>
    </x:row>
    <x:row r="46">
      <x:c r="A46" s="42" t="n">
        <x:v>42</x:v>
      </x:c>
      <x:c r="B46" s="43" t="str">
        <x:v>Mechanics</x:v>
      </x:c>
      <x:c r="C46" s="43" t="str">
        <x:v>Measurement and Kinematics</x:v>
      </x:c>
      <x:c r="D46" s="43" t="str">
        <x:v>Motion in a Plane</x:v>
      </x:c>
      <x:c r="E46" s="43" t="str">
        <x:v>Projectile Motion</x:v>
      </x:c>
      <x:c r="F46" s="43" t="str">
        <x:v>projectile-motion</x:v>
      </x:c>
      <x:c r="G46" s="43" t="str">
        <x:v>Class 11 / Intro Engineering</x:v>
      </x:c>
      <x:c r="H46" s="43" t="str">
        <x:v>Beginner</x:v>
      </x:c>
      <x:c r="I46" s="43" t="str">
        <x:v>Mechanics</x:v>
      </x:c>
      <x:c r="J46" s="43" t="str">
        <x:v>Study how initial speed, launch angle, and gravity affect projectile range and height; use mass to discuss why the ideal model ignores air resistance.</x:v>
      </x:c>
      <x:c r="K46" s="43" t="str">
        <x:v>Projectile motion separates into constant horizontal velocity and uniformly accelerated vertical motion.</x:v>
      </x:c>
      <x:c r="L46" s="43" t="str">
        <x:v>Range: R = \frac{u^2\sin(2\theta)}{g} • Maximum height: H = \frac{u^2\sin^2(\theta)}{2g}</x:v>
      </x:c>
      <x:c r="M46" s="43" t="str">
        <x:v>Launcher • Ball • Grid • Stopwatch • Graph plotter</x:v>
      </x:c>
      <x:c r="N46" s="43" t="str">
        <x:v>For ideal projectile motion, range is maximum near 45 degrees when launch and landing heights match.</x:v>
      </x:c>
      <x:c r="O46" s="42" t="n">
        <x:v>95</x:v>
      </x:c>
      <x:c r="P46" s="43" t="str">
        <x:v>Misconception repair</x:v>
      </x:c>
      <x:c r="Q46" s="43" t="str">
        <x:v>How can we use projectile motion to predict speed before reading the answer?</x:v>
      </x:c>
      <x:c r="R46" s="43" t="str">
        <x:v>A strong learner can write a prediction, collect speed data, explain the trend, and apply it to a new case.</x:v>
      </x:c>
    </x:row>
    <x:row r="47">
      <x:c r="A47" s="42" t="n">
        <x:v>43</x:v>
      </x:c>
      <x:c r="B47" s="43" t="str">
        <x:v>Mechanics</x:v>
      </x:c>
      <x:c r="C47" s="43" t="str">
        <x:v>Laws, Energy, Rotation, and Gravitation • Core Physics</x:v>
      </x:c>
      <x:c r="D47" s="43" t="str">
        <x:v>Rotational Motion • Analytical Mechanics</x:v>
      </x:c>
      <x:c r="E47" s="43" t="str">
        <x:v>Rotational Dynamics</x:v>
      </x:c>
      <x:c r="F47" s="43" t="str">
        <x:v>rotational-dynamics</x:v>
      </x:c>
      <x:c r="G47" s="43" t="str">
        <x:v>Class 11</x:v>
      </x:c>
      <x:c r="H47" s="43" t="str">
        <x:v>Intermediate</x:v>
      </x:c>
      <x:c r="I47" s="43" t="str">
        <x:v>Mechanics</x:v>
      </x:c>
      <x:c r="J47" s="43" t="str">
        <x:v>Relate torque, moment of inertia, and angular acceleration for rotating bodies.</x:v>
      </x:c>
      <x:c r="K47" s="43" t="str">
        <x:v>Rotational motion follows tau = I alpha, the angular analogue of F = ma.</x:v>
      </x:c>
      <x:c r="L47" s="43" t="str">
        <x:v>Rotational equation: \tau = I\alpha</x:v>
      </x:c>
      <x:c r="M47" s="43" t="str">
        <x:v>Disc • Rod • Wheel • Torque arm</x:v>
      </x:c>
      <x:c r="N47" s="43" t="str">
        <x:v>For the same torque, larger moment of inertia gives smaller angular acceleration.</x:v>
      </x:c>
      <x:c r="O47" s="42" t="n">
        <x:v>86</x:v>
      </x:c>
      <x:c r="P47" s="43" t="str">
        <x:v>Misconception repair</x:v>
      </x:c>
      <x:c r="Q47" s="43" t="str">
        <x:v>How can we use rotational dynamics to predict moment of inertia before reading the answer?</x:v>
      </x:c>
      <x:c r="R47" s="43" t="str">
        <x:v>A strong learner can write a prediction, collect moment of inertia data, explain the trend, and apply it to a new case.</x:v>
      </x:c>
    </x:row>
    <x:row r="48">
      <x:c r="A48" s="42" t="n">
        <x:v>44</x:v>
      </x:c>
      <x:c r="B48" s="43" t="str">
        <x:v>Mechanics</x:v>
      </x:c>
      <x:c r="C48" s="43" t="str">
        <x:v>Motion, Force, and Work • Matter, Thermal Physics, Oscillations, and Waves • Core Physics • Research Lanes</x:v>
      </x:c>
      <x:c r="D48" s="43" t="str">
        <x:v>Pendulum and Periodic Motion • Oscillations and Waves • Simple Harmonic Motion - Pendulum and Spring • Analytical Mechanics • Biophysics and Complex Systems</x:v>
      </x:c>
      <x:c r="E48" s="43" t="str">
        <x:v>Simple Pendulum</x:v>
      </x:c>
      <x:c r="F48" s="43" t="str">
        <x:v>simple-pendulum</x:v>
      </x:c>
      <x:c r="G48" s="43" t="str">
        <x:v>High school / undergraduate foundation</x:v>
      </x:c>
      <x:c r="H48" s="43" t="str">
        <x:v>Intermediate</x:v>
      </x:c>
      <x:c r="I48" s="43" t="str">
        <x:v>Waves • Mechanics</x:v>
      </x:c>
      <x:c r="J48" s="43" t="str">
        <x:v>Explore simple pendulum with editable variables and live measurements.</x:v>
      </x:c>
      <x:c r="K48" s="43" t="str">
        <x:v>This starter experiment uses the common lab workspace, object properties, vectors, graphs, and observation table.</x:v>
      </x:c>
      <x:c r="L48" s="43" t="str">
        <x:v>Small-angle period: T = 2\pi\sqrt{\frac{L}{g}}</x:v>
      </x:c>
      <x:c r="M48" s="43" t="str">
        <x:v>Physics canvas • Graph plotter • Data logger • Measurement probe</x:v>
      </x:c>
      <x:c r="N48" s="43" t="str">
        <x:v>Measured behavior should follow the standard SI-unit physics model for the chosen topic.</x:v>
      </x:c>
      <x:c r="O48" s="42" t="n">
        <x:v>90</x:v>
      </x:c>
      <x:c r="P48" s="43" t="str">
        <x:v>Misconception repair</x:v>
      </x:c>
      <x:c r="Q48" s="43" t="str">
        <x:v>How can we use simple pendulum to predict variable before reading the answer?</x:v>
      </x:c>
      <x:c r="R48" s="43" t="str">
        <x:v>A strong learner can write a prediction, collect variable data, explain the trend, and apply it to a new case.</x:v>
      </x:c>
    </x:row>
    <x:row r="49">
      <x:c r="A49" s="42" t="n">
        <x:v>45</x:v>
      </x:c>
      <x:c r="B49" s="43" t="str">
        <x:v>Mechanics</x:v>
      </x:c>
      <x:c r="C49" s="43" t="str">
        <x:v>Light, Motion, Electricity • Motion and Time • Motion, Force, and Work • Measurement and Kinematics</x:v>
      </x:c>
      <x:c r="D49" s="43" t="str">
        <x:v>Motion and Measurement • Speed, Distance, and Time • Distance-Time Graphs • Motion in One Dimension • Motion in a Straight Line</x:v>
      </x:c>
      <x:c r="E49" s="43" t="str">
        <x:v>Uniform Motion</x:v>
      </x:c>
      <x:c r="F49" s="43" t="str">
        <x:v>uniform-motion</x:v>
      </x:c>
      <x:c r="G49" s="43" t="str">
        <x:v>High school / undergraduate foundation</x:v>
      </x:c>
      <x:c r="H49" s="43" t="str">
        <x:v>Beginner</x:v>
      </x:c>
      <x:c r="I49" s="43" t="str">
        <x:v>Mechanics</x:v>
      </x:c>
      <x:c r="J49" s="43" t="str">
        <x:v>Explore uniform motion with editable variables and live measurements.</x:v>
      </x:c>
      <x:c r="K49" s="43" t="str">
        <x:v>This starter experiment uses the common lab workspace, object properties, vectors, graphs, and observation table.</x:v>
      </x:c>
      <x:c r="L49" s="43" t="str">
        <x:v>Uniform motion: x = x_0 + vt</x:v>
      </x:c>
      <x:c r="M49" s="43" t="str">
        <x:v>Physics canvas • Graph plotter • Data logger • Measurement probe</x:v>
      </x:c>
      <x:c r="N49" s="43" t="str">
        <x:v>Measured behavior should follow the standard SI-unit physics model for the chosen topic.</x:v>
      </x:c>
      <x:c r="O49" s="42" t="n">
        <x:v>90</x:v>
      </x:c>
      <x:c r="P49" s="43" t="str">
        <x:v>Misconception repair</x:v>
      </x:c>
      <x:c r="Q49" s="43" t="str">
        <x:v>How can we use uniform motion to predict variable before reading the answer?</x:v>
      </x:c>
      <x:c r="R49" s="43" t="str">
        <x:v>A strong learner can write a prediction, collect variable data, explain the trend, and apply it to a new case.</x:v>
      </x:c>
    </x:row>
    <x:row r="50">
      <x:c r="A50" s="42" t="n">
        <x:v>46</x:v>
      </x:c>
      <x:c r="B50" s="43" t="str">
        <x:v>Mechanics</x:v>
      </x:c>
      <x:c r="C50" s="43" t="str">
        <x:v>Measurement and Kinematics</x:v>
      </x:c>
      <x:c r="D50" s="43" t="str">
        <x:v>Motion in a Plane</x:v>
      </x:c>
      <x:c r="E50" s="43" t="str">
        <x:v>Vector Resolution</x:v>
      </x:c>
      <x:c r="F50" s="43" t="str">
        <x:v>vector-resolution</x:v>
      </x:c>
      <x:c r="G50" s="43" t="str">
        <x:v>Class 11</x:v>
      </x:c>
      <x:c r="H50" s="43" t="str">
        <x:v>Intermediate</x:v>
      </x:c>
      <x:c r="I50" s="43" t="str">
        <x:v>Mechanics</x:v>
      </x:c>
      <x:c r="J50" s="43" t="str">
        <x:v>Resolve a vector into rectangular components and reconstruct its magnitude.</x:v>
      </x:c>
      <x:c r="K50" s="43" t="str">
        <x:v>Any two-dimensional vector can be written as Ax i + Ay j using sine and cosine.</x:v>
      </x:c>
      <x:c r="L50" s="43" t="str">
        <x:v>Vector components: A_x=A\cos\theta,\quad A_y=A\sin\theta</x:v>
      </x:c>
      <x:c r="M50" s="43" t="str">
        <x:v>Vector arrows • Protractor • Graph grid</x:v>
      </x:c>
      <x:c r="N50" s="43" t="str">
        <x:v>The component square sum equals the original magnitude squared.</x:v>
      </x:c>
      <x:c r="O50" s="42" t="n">
        <x:v>86</x:v>
      </x:c>
      <x:c r="P50" s="43" t="str">
        <x:v>Misconception repair</x:v>
      </x:c>
      <x:c r="Q50" s="43" t="str">
        <x:v>How can we use vector resolution to predict angle before reading the answer?</x:v>
      </x:c>
      <x:c r="R50" s="43" t="str">
        <x:v>A strong learner can write a prediction, collect angle data, explain the trend, and apply it to a new case.</x:v>
      </x:c>
    </x:row>
    <x:row r="51">
      <x:c r="A51" s="42" t="n">
        <x:v>47</x:v>
      </x:c>
      <x:c r="B51" s="43" t="str">
        <x:v>Mechanics</x:v>
      </x:c>
      <x:c r="C51" s="43" t="str">
        <x:v>Motion, Force, and Work</x:v>
      </x:c>
      <x:c r="D51" s="43" t="str">
        <x:v>Work, Energy, and Power</x:v>
      </x:c>
      <x:c r="E51" s="43" t="str">
        <x:v>Work and Power</x:v>
      </x:c>
      <x:c r="F51" s="43" t="str">
        <x:v>work-power</x:v>
      </x:c>
      <x:c r="G51" s="43" t="str">
        <x:v>Class 9 / Class 11</x:v>
      </x:c>
      <x:c r="H51" s="43" t="str">
        <x:v>Beginner</x:v>
      </x:c>
      <x:c r="I51" s="43" t="str">
        <x:v>Mechanics</x:v>
      </x:c>
      <x:c r="J51" s="43" t="str">
        <x:v>Calculate work done and power for a force moving an object through a displacement.</x:v>
      </x:c>
      <x:c r="K51" s="43" t="str">
        <x:v>Work is energy transferred by force through displacement; power is work done per unit time.</x:v>
      </x:c>
      <x:c r="L51" s="43" t="str">
        <x:v>Work and power: W = Fs,\quad P = \frac{W}{t}</x:v>
      </x:c>
      <x:c r="M51" s="43" t="str">
        <x:v>Block • Force arrow • Ruler • Stopwatch</x:v>
      </x:c>
      <x:c r="N51" s="43" t="str">
        <x:v>The same work done in less time gives greater power.</x:v>
      </x:c>
      <x:c r="O51" s="42" t="n">
        <x:v>86</x:v>
      </x:c>
      <x:c r="P51" s="43" t="str">
        <x:v>Misconception repair</x:v>
      </x:c>
      <x:c r="Q51" s="43" t="str">
        <x:v>How can we use work and power to predict displacement before reading the answer?</x:v>
      </x:c>
      <x:c r="R51" s="43" t="str">
        <x:v>A strong learner can write a prediction, collect displacement data, explain the trend, and apply it to a new case.</x:v>
      </x:c>
    </x:row>
    <x:row r="52">
      <x:c r="A52" s="42" t="n">
        <x:v>48</x:v>
      </x:c>
      <x:c r="B52" s="43" t="str">
        <x:v>Modern Physics</x:v>
      </x:c>
      <x:c r="C52" s="43" t="str">
        <x:v>Advanced Physics</x:v>
      </x:c>
      <x:c r="D52" s="43" t="str">
        <x:v>Advanced Quantum Mechanics</x:v>
      </x:c>
      <x:c r="E52" s="43" t="str">
        <x:v>Advanced Quantum Operators</x:v>
      </x:c>
      <x:c r="F52" s="43" t="str">
        <x:v>advanced-quantum-operators</x:v>
      </x:c>
      <x:c r="G52" s="43" t="str">
        <x:v>Postgraduate</x:v>
      </x:c>
      <x:c r="H52" s="43" t="str">
        <x:v>Advanced</x:v>
      </x:c>
      <x:c r="I52" s="43" t="str">
        <x:v>Modern Physics</x:v>
      </x:c>
      <x:c r="J52" s="43" t="str">
        <x:v>Visualize state vectors, operator action, measurement projection, and tunneling or scattering probability as one compact model.</x:v>
      </x:c>
      <x:c r="K52" s="43" t="str">
        <x:v>Operators transform quantum states and observables return allowed values through eigenstates and probabilities.</x:v>
      </x:c>
      <x:c r="L52" s="43" t="str">
        <x:v>Eigenvalue equation: \hat A\psi=a\psi</x:v>
      </x:c>
      <x:c r="M52" s="43" t="str">
        <x:v>State vector • Operator dial • Potential barrier • Probability readout</x:v>
      </x:c>
      <x:c r="N52" s="43" t="str">
        <x:v>Aligned states give high projection probability; stronger barriers reduce transmission except for tunneling tails.</x:v>
      </x:c>
      <x:c r="O52" s="42" t="n">
        <x:v>85</x:v>
      </x:c>
      <x:c r="P52" s="43" t="str">
        <x:v>Misconception repair</x:v>
      </x:c>
      <x:c r="Q52" s="43" t="str">
        <x:v>How can we use advanced quantum operators to predict state angle before reading the answer?</x:v>
      </x:c>
      <x:c r="R52" s="43" t="str">
        <x:v>A strong learner can write a prediction, collect state angle data, explain the trend, and apply it to a new case.</x:v>
      </x:c>
    </x:row>
    <x:row r="53">
      <x:c r="A53" s="42" t="n">
        <x:v>49</x:v>
      </x:c>
      <x:c r="B53" s="43" t="str">
        <x:v>Modern Physics</x:v>
      </x:c>
      <x:c r="C53" s="43" t="str">
        <x:v>Optics and Modern Physics • Core Physics • Research Lanes</x:v>
      </x:c>
      <x:c r="D53" s="43" t="str">
        <x:v>Dual Nature, Atoms, and Nuclei • Quantum Mechanics • Quantum Information</x:v>
      </x:c>
      <x:c r="E53" s="43" t="str">
        <x:v>Bohr Atom Transitions</x:v>
      </x:c>
      <x:c r="F53" s="43" t="str">
        <x:v>bohr-model</x:v>
      </x:c>
      <x:c r="G53" s="43" t="str">
        <x:v>Class 12</x:v>
      </x:c>
      <x:c r="H53" s="43" t="str">
        <x:v>Intermediate</x:v>
      </x:c>
      <x:c r="I53" s="43" t="str">
        <x:v>Modern Physics</x:v>
      </x:c>
      <x:c r="J53" s="43" t="str">
        <x:v>Visualize hydrogen energy levels, spectral lines, and photon emission/absorption.</x:v>
      </x:c>
      <x:c r="K53" s="43" t="str">
        <x:v>Hydrogen energy levels follow En = -13.6/n^2 eV. A photon is emitted or absorbed when the electron changes levels.</x:v>
      </x:c>
      <x:c r="L53" s="43" t="str">
        <x:v>Hydrogen energy level: E_n=-\frac{13.6}{n^2}\ eV</x:v>
      </x:c>
      <x:c r="M53" s="43" t="str">
        <x:v>Hydrogen atom model • Energy level chart • Spectrum viewer</x:v>
      </x:c>
      <x:c r="N53" s="43" t="str">
        <x:v>Transitions to lower levels emit photons; larger energy gaps produce higher-frequency light.</x:v>
      </x:c>
      <x:c r="O53" s="42" t="n">
        <x:v>86</x:v>
      </x:c>
      <x:c r="P53" s="43" t="str">
        <x:v>Misconception repair</x:v>
      </x:c>
      <x:c r="Q53" s="43" t="str">
        <x:v>How can we use bohr atom transitions to predict final n before reading the answer?</x:v>
      </x:c>
      <x:c r="R53" s="43" t="str">
        <x:v>A strong learner can write a prediction, collect final n data, explain the trend, and apply it to a new case.</x:v>
      </x:c>
    </x:row>
    <x:row r="54">
      <x:c r="A54" s="42" t="n">
        <x:v>50</x:v>
      </x:c>
      <x:c r="B54" s="43" t="str">
        <x:v>Modern Physics</x:v>
      </x:c>
      <x:c r="C54" s="43" t="str">
        <x:v>Optics and Modern Physics • Core Physics</x:v>
      </x:c>
      <x:c r="D54" s="43" t="str">
        <x:v>Dual Nature, Atoms, and Nuclei • Quantum Mechanics</x:v>
      </x:c>
      <x:c r="E54" s="43" t="str">
        <x:v>de Broglie Wavelength</x:v>
      </x:c>
      <x:c r="F54" s="43" t="str">
        <x:v>de-broglie-wavelength</x:v>
      </x:c>
      <x:c r="G54" s="43" t="str">
        <x:v>Class 12</x:v>
      </x:c>
      <x:c r="H54" s="43" t="str">
        <x:v>Intermediate</x:v>
      </x:c>
      <x:c r="I54" s="43" t="str">
        <x:v>Modern Physics</x:v>
      </x:c>
      <x:c r="J54" s="43" t="str">
        <x:v>Connect particle momentum and accelerating voltage to matter-wave wavelength.</x:v>
      </x:c>
      <x:c r="K54" s="43" t="str">
        <x:v>Moving particles have wavelength lambda = h/p. For electrons accelerated through voltage V, wavelength decreases as voltage increases.</x:v>
      </x:c>
      <x:c r="L54" s="43" t="str">
        <x:v>Matter wavelength: \lambda=\frac{h}{p}</x:v>
      </x:c>
      <x:c r="M54" s="43" t="str">
        <x:v>Electron source • Accelerating plates • Diffraction screen</x:v>
      </x:c>
      <x:c r="N54" s="43" t="str">
        <x:v>Higher accelerating voltage gives shorter de Broglie wavelength.</x:v>
      </x:c>
      <x:c r="O54" s="42" t="n">
        <x:v>86</x:v>
      </x:c>
      <x:c r="P54" s="43" t="str">
        <x:v>Misconception repair</x:v>
      </x:c>
      <x:c r="Q54" s="43" t="str">
        <x:v>How can we use de broglie wavelength to predict momentum before reading the answer?</x:v>
      </x:c>
      <x:c r="R54" s="43" t="str">
        <x:v>A strong learner can write a prediction, collect momentum data, explain the trend, and apply it to a new case.</x:v>
      </x:c>
    </x:row>
    <x:row r="55">
      <x:c r="A55" s="42" t="n">
        <x:v>51</x:v>
      </x:c>
      <x:c r="B55" s="43" t="str">
        <x:v>Modern Physics</x:v>
      </x:c>
      <x:c r="C55" s="43" t="str">
        <x:v>Optics and Modern Physics • Advanced Physics • Research Lanes</x:v>
      </x:c>
      <x:c r="D55" s="43" t="str">
        <x:v>Dual Nature, Atoms, and Nuclei • Nuclear and Particle Physics • High Energy and Cosmology</x:v>
      </x:c>
      <x:c r="E55" s="43" t="str">
        <x:v>Nuclear Decay and Half-Life</x:v>
      </x:c>
      <x:c r="F55" s="43" t="str">
        <x:v>nuclear-decay</x:v>
      </x:c>
      <x:c r="G55" s="43" t="str">
        <x:v>Class 12</x:v>
      </x:c>
      <x:c r="H55" s="43" t="str">
        <x:v>Intermediate</x:v>
      </x:c>
      <x:c r="I55" s="43" t="str">
        <x:v>Modern Physics</x:v>
      </x:c>
      <x:c r="J55" s="43" t="str">
        <x:v>Model exponential radioactive decay and remaining nuclei after multiple half-lives.</x:v>
      </x:c>
      <x:c r="K55" s="43" t="str">
        <x:v>Radioactive nuclei decay randomly, but large samples follow N = N0(1/2)^(t/T).</x:v>
      </x:c>
      <x:c r="L55" s="43" t="str">
        <x:v>Half-life law: N=N_0\left(\frac{1}{2}\right)^{t/T}</x:v>
      </x:c>
      <x:c r="M55" s="43" t="str">
        <x:v>Nuclear sample • Counter • Decay graph</x:v>
      </x:c>
      <x:c r="N55" s="43" t="str">
        <x:v>After each half-life, half the remaining undecayed nuclei are left.</x:v>
      </x:c>
      <x:c r="O55" s="42" t="n">
        <x:v>91</x:v>
      </x:c>
      <x:c r="P55" s="43" t="str">
        <x:v>Misconception repair</x:v>
      </x:c>
      <x:c r="Q55" s="43" t="str">
        <x:v>How can we use nuclear decay and half-life to predict half-life before reading the answer?</x:v>
      </x:c>
      <x:c r="R55" s="43" t="str">
        <x:v>A strong learner can write a prediction, collect half-life data, explain the trend, and apply it to a new case.</x:v>
      </x:c>
    </x:row>
    <x:row r="56">
      <x:c r="A56" s="42" t="n">
        <x:v>52</x:v>
      </x:c>
      <x:c r="B56" s="43" t="str">
        <x:v>Modern Physics</x:v>
      </x:c>
      <x:c r="C56" s="43" t="str">
        <x:v>Optics and Modern Physics • Core Physics</x:v>
      </x:c>
      <x:c r="D56" s="43" t="str">
        <x:v>Dual Nature, Atoms, and Nuclei • Quantum Mechanics</x:v>
      </x:c>
      <x:c r="E56" s="43" t="str">
        <x:v>Photoelectric Equation</x:v>
      </x:c>
      <x:c r="F56" s="43" t="str">
        <x:v>photoelectric-equation</x:v>
      </x:c>
      <x:c r="G56" s="43" t="str">
        <x:v>Class 12</x:v>
      </x:c>
      <x:c r="H56" s="43" t="str">
        <x:v>Intermediate</x:v>
      </x:c>
      <x:c r="I56" s="43" t="str">
        <x:v>Modern Physics</x:v>
      </x:c>
      <x:c r="J56" s="43" t="str">
        <x:v>Use Einstein's photoelectric equation to compare photon energy, work function, and stopping potential.</x:v>
      </x:c>
      <x:c r="K56" s="43" t="str">
        <x:v>Electron kinetic energy equals photon energy minus metal work function when frequency exceeds threshold.</x:v>
      </x:c>
      <x:c r="L56" s="43" t="str">
        <x:v>Einstein equation: K_{max}=hf-\phi</x:v>
      </x:c>
      <x:c r="M56" s="43" t="str">
        <x:v>Photoelectric tube • Light source • Retarding voltage</x:v>
      </x:c>
      <x:c r="N56" s="43" t="str">
        <x:v>Intensity changes photocurrent, while frequency controls maximum kinetic energy.</x:v>
      </x:c>
      <x:c r="O56" s="42" t="n">
        <x:v>95</x:v>
      </x:c>
      <x:c r="P56" s="43" t="str">
        <x:v>Misconception repair</x:v>
      </x:c>
      <x:c r="Q56" s="43" t="str">
        <x:v>How can we use photoelectric equation to predict work function before reading the answer?</x:v>
      </x:c>
      <x:c r="R56" s="43" t="str">
        <x:v>A strong learner can write a prediction, collect work function data, explain the trend, and apply it to a new case.</x:v>
      </x:c>
    </x:row>
    <x:row r="57">
      <x:c r="A57" s="42" t="n">
        <x:v>53</x:v>
      </x:c>
      <x:c r="B57" s="43" t="str">
        <x:v>Modern Physics</x:v>
      </x:c>
      <x:c r="C57" s="43" t="str">
        <x:v>Optics and Modern Physics</x:v>
      </x:c>
      <x:c r="D57" s="43" t="str">
        <x:v>Special Relativity Bridge</x:v>
      </x:c>
      <x:c r="E57" s="43" t="str">
        <x:v>Special Relativity Bridge</x:v>
      </x:c>
      <x:c r="F57" s="43" t="str">
        <x:v>special-relativity-bridge</x:v>
      </x:c>
      <x:c r="G57" s="43" t="str">
        <x:v>Class 12 / IB HL bridge</x:v>
      </x:c>
      <x:c r="H57" s="43" t="str">
        <x:v>Advanced</x:v>
      </x:c>
      <x:c r="I57" s="43" t="str">
        <x:v>Modern Physics</x:v>
      </x:c>
      <x:c r="J57" s="43" t="str">
        <x:v>Explore time dilation, length contraction, and relativistic energy using a light-clock and spacetime graph.</x:v>
      </x:c>
      <x:c r="K57" s="43" t="str">
        <x:v>At speeds close to light speed, observers can disagree on measured time and length while the spacetime interval remains consistent.</x:v>
      </x:c>
      <x:c r="L57" s="43" t="str">
        <x:v>Lorentz factor: \gamma=\frac{1}{\sqrt{1-v^2/c^2}}</x:v>
      </x:c>
      <x:c r="M57" s="43" t="str">
        <x:v>Light clock • Velocity slider • Spacetime graph • Energy readout</x:v>
      </x:c>
      <x:c r="N57" s="43" t="str">
        <x:v>As speed approaches light speed, gamma rises, measured time dilates, and energy demand grows sharply.</x:v>
      </x:c>
      <x:c r="O57" s="42" t="n">
        <x:v>86</x:v>
      </x:c>
      <x:c r="P57" s="43" t="str">
        <x:v>Misconception repair</x:v>
      </x:c>
      <x:c r="Q57" s="43" t="str">
        <x:v>How can we use special relativity bridge to predict gamma before reading the answer?</x:v>
      </x:c>
      <x:c r="R57" s="43" t="str">
        <x:v>A strong learner can write a prediction, collect gamma data, explain the trend, and apply it to a new case.</x:v>
      </x:c>
    </x:row>
    <x:row r="58">
      <x:c r="A58" s="42" t="n">
        <x:v>54</x:v>
      </x:c>
      <x:c r="B58" s="43" t="str">
        <x:v>Optics</x:v>
      </x:c>
      <x:c r="C58" s="43" t="str">
        <x:v>Natural Phenomena • Optics and Modern Physics</x:v>
      </x:c>
      <x:c r="D58" s="43" t="str">
        <x:v>Glass Slab and Prism • Ray Optics and Instruments</x:v>
      </x:c>
      <x:c r="E58" s="43" t="str">
        <x:v>Glass Slab Refraction</x:v>
      </x:c>
      <x:c r="F58" s="43" t="str">
        <x:v>glass-slab-refraction</x:v>
      </x:c>
      <x:c r="G58" s="43" t="str">
        <x:v>Class 10</x:v>
      </x:c>
      <x:c r="H58" s="43" t="str">
        <x:v>Intermediate</x:v>
      </x:c>
      <x:c r="I58" s="43" t="str">
        <x:v>Optics</x:v>
      </x:c>
      <x:c r="J58" s="43" t="str">
        <x:v>Trace refraction through a rectangular glass slab and calculate refraction angle.</x:v>
      </x:c>
      <x:c r="K58" s="43" t="str">
        <x:v>A ray bends towards the normal on entering glass and away from the normal on leaving, emerging parallel with lateral shift.</x:v>
      </x:c>
      <x:c r="L58" s="43" t="str">
        <x:v>Snell's law: \frac{\sin i}{\sin r}=n</x:v>
      </x:c>
      <x:c r="M58" s="43" t="str">
        <x:v>Light ray • Glass slab • Protractor • Screen</x:v>
      </x:c>
      <x:c r="N58" s="43" t="str">
        <x:v>The emergent ray is parallel to the incident ray but laterally shifted.</x:v>
      </x:c>
      <x:c r="O58" s="42" t="n">
        <x:v>91</x:v>
      </x:c>
      <x:c r="P58" s="43" t="str">
        <x:v>Misconception repair</x:v>
      </x:c>
      <x:c r="Q58" s="43" t="str">
        <x:v>How can we use glass slab refraction to predict refractive index before reading the answer?</x:v>
      </x:c>
      <x:c r="R58" s="43" t="str">
        <x:v>A strong learner can write a prediction, collect refractive index data, explain the trend, and apply it to a new case.</x:v>
      </x:c>
    </x:row>
    <x:row r="59">
      <x:c r="A59" s="42" t="n">
        <x:v>55</x:v>
      </x:c>
      <x:c r="B59" s="43" t="str">
        <x:v>Optics</x:v>
      </x:c>
      <x:c r="C59" s="43" t="str">
        <x:v>Natural Phenomena</x:v>
      </x:c>
      <x:c r="D59" s="43" t="str">
        <x:v>Human Eye and Defects</x:v>
      </x:c>
      <x:c r="E59" s="43" t="str">
        <x:v>Human Eye and Vision Defects</x:v>
      </x:c>
      <x:c r="F59" s="43" t="str">
        <x:v>human-eye-defects</x:v>
      </x:c>
      <x:c r="G59" s="43" t="str">
        <x:v>Class 10</x:v>
      </x:c>
      <x:c r="H59" s="43" t="str">
        <x:v>Beginner</x:v>
      </x:c>
      <x:c r="I59" s="43" t="str">
        <x:v>Optics</x:v>
      </x:c>
      <x:c r="J59" s="43" t="str">
        <x:v>Model image formation on the retina and correction of myopia and hypermetropia.</x:v>
      </x:c>
      <x:c r="K59" s="43" t="str">
        <x:v>The cornea and eye lens converge incoming light so a sharp image forms on the retina. In myopia, distant-object rays focus before the retina and a concave lens spreads them before they enter the eye. In hypermetropia, nearby-object rays would focus behind the retina and a convex lens adds convergence.</x:v>
      </x:c>
      <x:c r="L59" s="43" t="str">
        <x:v>Lens power: P=\frac{1}{f}</x:v>
      </x:c>
      <x:c r="M59" s="43" t="str">
        <x:v>Realistic cutaway eye model • Retina screen • Concave corrective lens • Convex corrective lens • Ray overlay</x:v>
      </x:c>
      <x:c r="N59" s="43" t="str">
        <x:v>Myopia is corrected by a concave lens; hypermetropia is corrected by a convex lens. A clear image forms when the corrected ray focus lies on the retina.</x:v>
      </x:c>
      <x:c r="O59" s="42" t="n">
        <x:v>86</x:v>
      </x:c>
      <x:c r="P59" s="43" t="str">
        <x:v>Misconception repair</x:v>
      </x:c>
      <x:c r="Q59" s="43" t="str">
        <x:v>How can we use human eye and vision defects to predict far point/near point before reading the answer?</x:v>
      </x:c>
      <x:c r="R59" s="43" t="str">
        <x:v>A strong learner can write a prediction, collect far point/near point data, explain the trend, and apply it to a new case.</x:v>
      </x:c>
    </x:row>
    <x:row r="60">
      <x:c r="A60" s="42" t="n">
        <x:v>56</x:v>
      </x:c>
      <x:c r="B60" s="43" t="str">
        <x:v>Optics</x:v>
      </x:c>
      <x:c r="C60" s="43" t="str">
        <x:v>Light • Natural Phenomena • Optics and Modern Physics</x:v>
      </x:c>
      <x:c r="D60" s="43" t="str">
        <x:v>Images by Lenses • Refraction by Lenses • Ray Optics and Instruments</x:v>
      </x:c>
      <x:c r="E60" s="43" t="str">
        <x:v>Lens Formula</x:v>
      </x:c>
      <x:c r="F60" s="43" t="str">
        <x:v>lens-formula</x:v>
      </x:c>
      <x:c r="G60" s="43" t="str">
        <x:v>Class 10 / Class 12</x:v>
      </x:c>
      <x:c r="H60" s="43" t="str">
        <x:v>Intermediate</x:v>
      </x:c>
      <x:c r="I60" s="43" t="str">
        <x:v>Optics</x:v>
      </x:c>
      <x:c r="J60" s="43" t="str">
        <x:v>Calculate image distance and magnification for a convex lens.</x:v>
      </x:c>
      <x:c r="K60" s="43" t="str">
        <x:v>For a thin lens, focal length, object distance, and image distance follow 1/f = 1/v - 1/u.</x:v>
      </x:c>
      <x:c r="L60" s="43" t="str">
        <x:v>Lens formula: \frac{1}{f}=\frac{1}{v}-\frac{1}{u}</x:v>
      </x:c>
      <x:c r="M60" s="43" t="str">
        <x:v>Convex lens • Object • Screen • Ruler</x:v>
      </x:c>
      <x:c r="N60" s="43" t="str">
        <x:v>Object outside focus gives real image; object inside focus gives virtual image.</x:v>
      </x:c>
      <x:c r="O60" s="42" t="n">
        <x:v>91</x:v>
      </x:c>
      <x:c r="P60" s="43" t="str">
        <x:v>Misconception repair</x:v>
      </x:c>
      <x:c r="Q60" s="43" t="str">
        <x:v>How can we use lens formula to predict object distance before reading the answer?</x:v>
      </x:c>
      <x:c r="R60" s="43" t="str">
        <x:v>A strong learner can write a prediction, collect object distance data, explain the trend, and apply it to a new case.</x:v>
      </x:c>
    </x:row>
    <x:row r="61">
      <x:c r="A61" s="42" t="n">
        <x:v>57</x:v>
      </x:c>
      <x:c r="B61" s="43" t="str">
        <x:v>Optics</x:v>
      </x:c>
      <x:c r="C61" s="43" t="str">
        <x:v>Optics and Modern Physics</x:v>
      </x:c>
      <x:c r="D61" s="43" t="str">
        <x:v>Ray Optics and Instruments</x:v>
      </x:c>
      <x:c r="E61" s="43" t="str">
        <x:v>Microscope and Telescope</x:v>
      </x:c>
      <x:c r="F61" s="43" t="str">
        <x:v>optical-instruments</x:v>
      </x:c>
      <x:c r="G61" s="43" t="str">
        <x:v>Class 12</x:v>
      </x:c>
      <x:c r="H61" s="43" t="str">
        <x:v>Advanced</x:v>
      </x:c>
      <x:c r="I61" s="43" t="str">
        <x:v>Optics</x:v>
      </x:c>
      <x:c r="J61" s="43" t="str">
        <x:v>Compare magnification of a compound microscope and an astronomical telescope.</x:v>
      </x:c>
      <x:c r="K61" s="43" t="str">
        <x:v>Optical instruments use objective and eyepiece lenses to form enlarged images at comfortable viewing positions.</x:v>
      </x:c>
      <x:c r="L61" s="43" t="str">
        <x:v>Telescope magnification: M=\frac{f_o}{f_e}</x:v>
      </x:c>
      <x:c r="M61" s="43" t="str">
        <x:v>Objective lens • Eyepiece • Object • Image screen</x:v>
      </x:c>
      <x:c r="N61" s="43" t="str">
        <x:v>Shorter eyepiece focal length increases angular magnification.</x:v>
      </x:c>
      <x:c r="O61" s="42" t="n">
        <x:v>86</x:v>
      </x:c>
      <x:c r="P61" s="43" t="str">
        <x:v>Misconception repair</x:v>
      </x:c>
      <x:c r="Q61" s="43" t="str">
        <x:v>How can we use microscope and telescope to predict objective f before reading the answer?</x:v>
      </x:c>
      <x:c r="R61" s="43" t="str">
        <x:v>A strong learner can write a prediction, collect objective f data, explain the trend, and apply it to a new case.</x:v>
      </x:c>
    </x:row>
    <x:row r="62">
      <x:c r="A62" s="42" t="n">
        <x:v>58</x:v>
      </x:c>
      <x:c r="B62" s="43" t="str">
        <x:v>Optics</x:v>
      </x:c>
      <x:c r="C62" s="43" t="str">
        <x:v>Natural Phenomena • Optics and Modern Physics</x:v>
      </x:c>
      <x:c r="D62" s="43" t="str">
        <x:v>Reflection by Spherical Mirrors • Ray Optics and Instruments</x:v>
      </x:c>
      <x:c r="E62" s="43" t="str">
        <x:v>Mirror Formula</x:v>
      </x:c>
      <x:c r="F62" s="43" t="str">
        <x:v>mirror-formula</x:v>
      </x:c>
      <x:c r="G62" s="43" t="str">
        <x:v>Class 10</x:v>
      </x:c>
      <x:c r="H62" s="43" t="str">
        <x:v>Intermediate</x:v>
      </x:c>
      <x:c r="I62" s="43" t="str">
        <x:v>Optics</x:v>
      </x:c>
      <x:c r="J62" s="43" t="str">
        <x:v>Use the mirror formula to calculate image distance and magnification for a concave mirror.</x:v>
      </x:c>
      <x:c r="K62" s="43" t="str">
        <x:v>For spherical mirrors, object distance, image distance, and focal length are related by 1/f = 1/v + 1/u.</x:v>
      </x:c>
      <x:c r="L62" s="43" t="str">
        <x:v>Mirror formula: \frac{1}{f}=\frac{1}{v}+\frac{1}{u}</x:v>
      </x:c>
      <x:c r="M62" s="43" t="str">
        <x:v>Concave mirror • Object • Screen • Ruler</x:v>
      </x:c>
      <x:c r="N62" s="43" t="str">
        <x:v>Image position changes sharply when object distance approaches focal length.</x:v>
      </x:c>
      <x:c r="O62" s="42" t="n">
        <x:v>91</x:v>
      </x:c>
      <x:c r="P62" s="43" t="str">
        <x:v>Misconception repair</x:v>
      </x:c>
      <x:c r="Q62" s="43" t="str">
        <x:v>How can we use mirror formula to predict object distance before reading the answer?</x:v>
      </x:c>
      <x:c r="R62" s="43" t="str">
        <x:v>A strong learner can write a prediction, collect object distance data, explain the trend, and apply it to a new case.</x:v>
      </x:c>
    </x:row>
    <x:row r="63">
      <x:c r="A63" s="42" t="n">
        <x:v>59</x:v>
      </x:c>
      <x:c r="B63" s="43" t="str">
        <x:v>Optics</x:v>
      </x:c>
      <x:c r="C63" s="43" t="str">
        <x:v>Friction, Sound, and Light</x:v>
      </x:c>
      <x:c r="D63" s="43" t="str">
        <x:v>Light and Multiple Reflection</x:v>
      </x:c>
      <x:c r="E63" s="43" t="str">
        <x:v>Multiple Reflection and Kaleidoscope</x:v>
      </x:c>
      <x:c r="F63" s="43" t="str">
        <x:v>multiple-reflection</x:v>
      </x:c>
      <x:c r="G63" s="43" t="str">
        <x:v>Class 8</x:v>
      </x:c>
      <x:c r="H63" s="43" t="str">
        <x:v>Beginner</x:v>
      </x:c>
      <x:c r="I63" s="43" t="str">
        <x:v>Optics</x:v>
      </x:c>
      <x:c r="J63" s="43" t="str">
        <x:v>Predict number of images formed by two plane mirrors at different angles.</x:v>
      </x:c>
      <x:c r="K63" s="43" t="str">
        <x:v>Two mirrors form repeated images. For many school cases, image count is approximately 360/theta - 1 when 360/theta is an integer.</x:v>
      </x:c>
      <x:c r="L63" s="43" t="str">
        <x:v>Number of images: n=\frac{360}{\theta}-1</x:v>
      </x:c>
      <x:c r="M63" s="43" t="str">
        <x:v>Two plane mirrors • Protractor • Object pin • Kaleidoscope viewer</x:v>
      </x:c>
      <x:c r="N63" s="43" t="str">
        <x:v>Smaller mirror angle produces more repeated images.</x:v>
      </x:c>
      <x:c r="O63" s="42" t="n">
        <x:v>86</x:v>
      </x:c>
      <x:c r="P63" s="43" t="str">
        <x:v>Misconception repair</x:v>
      </x:c>
      <x:c r="Q63" s="43" t="str">
        <x:v>How can we use multiple reflection and kaleidoscope to predict 360/angle before reading the answer?</x:v>
      </x:c>
      <x:c r="R63" s="43" t="str">
        <x:v>A strong learner can write a prediction, collect 360/angle data, explain the trend, and apply it to a new case.</x:v>
      </x:c>
    </x:row>
    <x:row r="64">
      <x:c r="A64" s="42" t="n">
        <x:v>60</x:v>
      </x:c>
      <x:c r="B64" s="43" t="str">
        <x:v>Optics</x:v>
      </x:c>
      <x:c r="C64" s="43" t="str">
        <x:v>Friction, Sound, and Light • Natural Phenomena • Optics and Modern Physics</x:v>
      </x:c>
      <x:c r="D64" s="43" t="str">
        <x:v>Light and Multiple Reflection • Glass Slab and Prism • Ray Optics and Instruments</x:v>
      </x:c>
      <x:c r="E64" s="43" t="str">
        <x:v>Prism Dispersion</x:v>
      </x:c>
      <x:c r="F64" s="43" t="str">
        <x:v>prism-dispersion</x:v>
      </x:c>
      <x:c r="G64" s="43" t="str">
        <x:v>Class 10 / Class 12</x:v>
      </x:c>
      <x:c r="H64" s="43" t="str">
        <x:v>Intermediate</x:v>
      </x:c>
      <x:c r="I64" s="43" t="str">
        <x:v>Optics</x:v>
      </x:c>
      <x:c r="J64" s="43" t="str">
        <x:v>Trace incident, refracted, and emergent rays through a prism, then compare deviation, minimum deviation, and colour dispersion.</x:v>
      </x:c>
      <x:c r="K64" s="43" t="str">
        <x:v>A prism refracts light at two faces. Since refractive index is slightly larger for shorter wavelengths, violet bends more than red and white light spreads into VIBGYOR.</x:v>
      </x:c>
      <x:c r="L64" s="43" t="str">
        <x:v>Approximate deviation: \delta \approx (n-1)A • Minimum deviation: n=\frac{\sin((A+D_m)/2)}{\sin(A/2)} • Snell at prism faces: \sin i=n\sin r_1,\ r_1+r_2=A,\ n\sin r_2=\sin e</x:v>
      </x:c>
      <x:c r="M64" s="43" t="str">
        <x:v>White light ray • Glass prism • Protractor • Normal markers • Screen • Colour spectrum scale</x:v>
      </x:c>
      <x:c r="N64" s="43" t="str">
        <x:v>Larger prism angle and stronger dispersion create a wider visible spectrum.</x:v>
      </x:c>
      <x:c r="O64" s="42" t="n">
        <x:v>86</x:v>
      </x:c>
      <x:c r="P64" s="43" t="str">
        <x:v>Misconception repair</x:v>
      </x:c>
      <x:c r="Q64" s="43" t="str">
        <x:v>How can we use prism dispersion to predict material / n before reading the answer?</x:v>
      </x:c>
      <x:c r="R64" s="43" t="str">
        <x:v>A strong learner can write a prediction, collect material / n data, explain the trend, and apply it to a new case.</x:v>
      </x:c>
    </x:row>
    <x:row r="65">
      <x:c r="A65" s="42" t="n">
        <x:v>61</x:v>
      </x:c>
      <x:c r="B65" s="43" t="str">
        <x:v>Optics</x:v>
      </x:c>
      <x:c r="C65" s="43" t="str">
        <x:v>Light, Motion, Electricity • Light • Friction, Sound, and Light</x:v>
      </x:c>
      <x:c r="D65" s="43" t="str">
        <x:v>Light, Shadows, and Reflection • Reflection by Mirrors • Light and Multiple Reflection</x:v>
      </x:c>
      <x:c r="E65" s="43" t="str">
        <x:v>Reflection by Plane Mirror</x:v>
      </x:c>
      <x:c r="F65" s="43" t="str">
        <x:v>reflection-plane-mirror</x:v>
      </x:c>
      <x:c r="G65" s="43" t="str">
        <x:v>Class 7 / Class 8</x:v>
      </x:c>
      <x:c r="H65" s="43" t="str">
        <x:v>Beginner</x:v>
      </x:c>
      <x:c r="I65" s="43" t="str">
        <x:v>Optics</x:v>
      </x:c>
      <x:c r="J65" s="43" t="str">
        <x:v>Trace incident and reflected rays and verify the law of reflection.</x:v>
      </x:c>
      <x:c r="K65" s="43" t="str">
        <x:v>The angle of incidence equals the angle of reflection, measured from the normal.</x:v>
      </x:c>
      <x:c r="L65" s="43" t="str">
        <x:v>Law of reflection: i = r</x:v>
      </x:c>
      <x:c r="M65" s="43" t="str">
        <x:v>Light ray • Plane mirror • Protractor • Screen</x:v>
      </x:c>
      <x:c r="N65" s="43" t="str">
        <x:v>For a plane mirror, incidence angle equals reflection angle and image distance equals object distance.</x:v>
      </x:c>
      <x:c r="O65" s="42" t="n">
        <x:v>86</x:v>
      </x:c>
      <x:c r="P65" s="43" t="str">
        <x:v>Misconception repair</x:v>
      </x:c>
      <x:c r="Q65" s="43" t="str">
        <x:v>How can we use reflection by plane mirror to predict incidence angle before reading the answer?</x:v>
      </x:c>
      <x:c r="R65" s="43" t="str">
        <x:v>A strong learner can write a prediction, collect incidence angle data, explain the trend, and apply it to a new case.</x:v>
      </x:c>
    </x:row>
    <x:row r="66">
      <x:c r="A66" s="42" t="n">
        <x:v>62</x:v>
      </x:c>
      <x:c r="B66" s="43" t="str">
        <x:v>Optics</x:v>
      </x:c>
      <x:c r="C66" s="43" t="str">
        <x:v>Light, Motion, Electricity • Light</x:v>
      </x:c>
      <x:c r="D66" s="43" t="str">
        <x:v>Light, Shadows, and Reflection • Reflection by Mirrors</x:v>
      </x:c>
      <x:c r="E66" s="43" t="str">
        <x:v>Shadows and Eclipses</x:v>
      </x:c>
      <x:c r="F66" s="43" t="str">
        <x:v>shadows-eclipses</x:v>
      </x:c>
      <x:c r="G66" s="43" t="str">
        <x:v>Class 7 / Class 8</x:v>
      </x:c>
      <x:c r="H66" s="43" t="str">
        <x:v>Beginner</x:v>
      </x:c>
      <x:c r="I66" s="43" t="str">
        <x:v>Optics</x:v>
      </x:c>
      <x:c r="J66" s="43" t="str">
        <x:v>Show rectilinear propagation of light using shadows, umbra, penumbra, and eclipses.</x:v>
      </x:c>
      <x:c r="K66" s="43" t="str">
        <x:v>Light travels in straight lines. Extended sources produce umbra and penumbra regions behind an opaque object.</x:v>
      </x:c>
      <x:c r="L66" s="43" t="str">
        <x:v>Similar-triangle shadow: \frac{D_s}{D_o}\approx\frac{L_s}{L_o}</x:v>
      </x:c>
      <x:c r="M66" s="43" t="str">
        <x:v>Light source • Opaque ball • Screen • Distance scale</x:v>
      </x:c>
      <x:c r="N66" s="43" t="str">
        <x:v>A smaller source gives a sharper shadow; an extended source creates penumbra around the umbra.</x:v>
      </x:c>
      <x:c r="O66" s="42" t="n">
        <x:v>86</x:v>
      </x:c>
      <x:c r="P66" s="43" t="str">
        <x:v>Misconception repair</x:v>
      </x:c>
      <x:c r="Q66" s="43" t="str">
        <x:v>How can we use shadows and eclipses to predict object distance before reading the answer?</x:v>
      </x:c>
      <x:c r="R66" s="43" t="str">
        <x:v>A strong learner can write a prediction, collect object distance data, explain the trend, and apply it to a new case.</x:v>
      </x:c>
    </x:row>
    <x:row r="67">
      <x:c r="A67" s="42" t="n">
        <x:v>63</x:v>
      </x:c>
      <x:c r="B67" s="43" t="str">
        <x:v>Optics</x:v>
      </x:c>
      <x:c r="C67" s="43" t="str">
        <x:v>Optics and Modern Physics</x:v>
      </x:c>
      <x:c r="D67" s="43" t="str">
        <x:v>Ray Optics and Instruments</x:v>
      </x:c>
      <x:c r="E67" s="43" t="str">
        <x:v>Total Internal Reflection</x:v>
      </x:c>
      <x:c r="F67" s="43" t="str">
        <x:v>total-internal-reflection</x:v>
      </x:c>
      <x:c r="G67" s="43" t="str">
        <x:v>Class 12 / Class 10 enrichment</x:v>
      </x:c>
      <x:c r="H67" s="43" t="str">
        <x:v>Intermediate</x:v>
      </x:c>
      <x:c r="I67" s="43" t="str">
        <x:v>Optics</x:v>
      </x:c>
      <x:c r="J67" s="43" t="str">
        <x:v>Find critical angle and show when light reflects completely inside a denser medium.</x:v>
      </x:c>
      <x:c r="K67" s="43" t="str">
        <x:v>Total internal reflection occurs when light travels from denser to rarer medium and incidence angle exceeds the critical angle.</x:v>
      </x:c>
      <x:c r="L67" s="43" t="str">
        <x:v>Critical angle: \sin C=\frac{n_2}{n_1}</x:v>
      </x:c>
      <x:c r="M67" s="43" t="str">
        <x:v>Glass block • Ray source • Protractor • Screen</x:v>
      </x:c>
      <x:c r="N67" s="43" t="str">
        <x:v>For glass to air, angles greater than the critical angle produce total internal reflection.</x:v>
      </x:c>
      <x:c r="O67" s="42" t="n">
        <x:v>86</x:v>
      </x:c>
      <x:c r="P67" s="43" t="str">
        <x:v>Misconception repair</x:v>
      </x:c>
      <x:c r="Q67" s="43" t="str">
        <x:v>How can we use total internal reflection to predict n2 before reading the answer?</x:v>
      </x:c>
      <x:c r="R67" s="43" t="str">
        <x:v>A strong learner can write a prediction, collect n2 data, explain the trend, and apply it to a new case.</x:v>
      </x:c>
    </x:row>
    <x:row r="68">
      <x:c r="A68" s="42" t="n">
        <x:v>64</x:v>
      </x:c>
      <x:c r="B68" s="43" t="str">
        <x:v>Oscillations</x:v>
      </x:c>
      <x:c r="C68" s="43" t="str">
        <x:v>Matter, Thermal Physics, Oscillations, and Waves</x:v>
      </x:c>
      <x:c r="D68" s="43" t="str">
        <x:v>Chaotic and Coupled Oscillators</x:v>
      </x:c>
      <x:c r="E68" s="43" t="str">
        <x:v>Chaotic and Coupled Oscillators</x:v>
      </x:c>
      <x:c r="F68" s="43" t="str">
        <x:v>chaotic-coupled-oscillators</x:v>
      </x:c>
      <x:c r="G68" s="43" t="str">
        <x:v>Class 11 / Undergraduate bridge</x:v>
      </x:c>
      <x:c r="H68" s="43" t="str">
        <x:v>Advanced</x:v>
      </x:c>
      <x:c r="I68" s="43" t="str">
        <x:v>Oscillations • Mechanics</x:v>
      </x:c>
      <x:c r="J68" s="43" t="str">
        <x:v>Compare a simple oscillator with a double-pendulum style coupled oscillator and identify the start of chaotic motion.</x:v>
      </x:c>
      <x:c r="K68" s="43" t="str">
        <x:v>Coupled nonlinear oscillators can become sensitive to initial conditions, so tiny angle changes can grow into visibly different phase paths.</x:v>
      </x:c>
      <x:c r="L68" s="43" t="str">
        <x:v>Sensitivity indicator: \Delta(t)\approx\Delta_0e^{\lambda t}</x:v>
      </x:c>
      <x:c r="M68" s="43" t="str">
        <x:v>Double pendulum • Phase plot • Angle sliders • Energy tracker</x:v>
      </x:c>
      <x:c r="N68" s="43" t="str">
        <x:v>Small angles stay regular for longer, while larger coupled motion separates quickly and produces complex phase paths.</x:v>
      </x:c>
      <x:c r="O68" s="42" t="n">
        <x:v>86</x:v>
      </x:c>
      <x:c r="P68" s="43" t="str">
        <x:v>Misconception repair</x:v>
      </x:c>
      <x:c r="Q68" s="43" t="str">
        <x:v>How can we use chaotic and coupled oscillators to predict angle 2 before reading the answer?</x:v>
      </x:c>
      <x:c r="R68" s="43" t="str">
        <x:v>A strong learner can write a prediction, collect angle 2 data, explain the trend, and apply it to a new case.</x:v>
      </x:c>
    </x:row>
    <x:row r="69">
      <x:c r="A69" s="42" t="n">
        <x:v>65</x:v>
      </x:c>
      <x:c r="B69" s="43" t="str">
        <x:v>Thermodynamics</x:v>
      </x:c>
      <x:c r="C69" s="43" t="str">
        <x:v>Unmapped</x:v>
      </x:c>
      <x:c r="D69" s="43" t="str">
        <x:v>Unmapped</x:v>
      </x:c>
      <x:c r="E69" s="43" t="str">
        <x:v>Calorimetry Mixing Lab</x:v>
      </x:c>
      <x:c r="F69" s="43" t="str">
        <x:v>calorimetry-mixing</x:v>
      </x:c>
      <x:c r="G69" s="43" t="str">
        <x:v>Class 11 / Class 7 enrichment</x:v>
      </x:c>
      <x:c r="H69" s="43" t="str">
        <x:v>Intermediate</x:v>
      </x:c>
      <x:c r="I69" s="43" t="str">
        <x:v>Thermodynamics</x:v>
      </x:c>
      <x:c r="J69" s="43" t="str">
        <x:v>Mix hot and cold water samples and predict the final equilibrium temperature.</x:v>
      </x:c>
      <x:c r="K69" s="43" t="str">
        <x:v>In an insulated mixture, heat lost by the hot body is approximately equal to heat gained by the cold body.</x:v>
      </x:c>
      <x:c r="L69" s="43" t="str">
        <x:v>Heat balance: m_hc(T_h-T_f)=m_cc(T_f-T_c)</x:v>
      </x:c>
      <x:c r="M69" s="43" t="str">
        <x:v>Calorimeter • Hot water • Cold water • Thermometer</x:v>
      </x:c>
      <x:c r="N69" s="43" t="str">
        <x:v>The final temperature lies between the hot and cold initial temperatures and shifts toward the larger heat capacity sample.</x:v>
      </x:c>
      <x:c r="O69" s="42" t="n">
        <x:v>86</x:v>
      </x:c>
      <x:c r="P69" s="43" t="str">
        <x:v>Misconception repair</x:v>
      </x:c>
      <x:c r="Q69" s="43" t="str">
        <x:v>How can we use calorimetry mixing lab to predict hot temp before reading the answer?</x:v>
      </x:c>
      <x:c r="R69" s="43" t="str">
        <x:v>A strong learner can write a prediction, collect hot temp data, explain the trend, and apply it to a new case.</x:v>
      </x:c>
    </x:row>
    <x:row r="70">
      <x:c r="A70" s="42" t="n">
        <x:v>66</x:v>
      </x:c>
      <x:c r="B70" s="43" t="str">
        <x:v>Thermodynamics</x:v>
      </x:c>
      <x:c r="C70" s="43" t="str">
        <x:v>Matter, Thermal Physics, Oscillations, and Waves • Core Physics • Research Lanes</x:v>
      </x:c>
      <x:c r="D70" s="43" t="str">
        <x:v>Thermal Properties and Thermodynamics • Kinetic Theory • Statistical and Thermal Physics • Biophysics and Complex Systems</x:v>
      </x:c>
      <x:c r="E70" s="43" t="str">
        <x:v>Gas Laws and Kinetic Theory</x:v>
      </x:c>
      <x:c r="F70" s="43" t="str">
        <x:v>gas-laws</x:v>
      </x:c>
      <x:c r="G70" s="43" t="str">
        <x:v>Class 11</x:v>
      </x:c>
      <x:c r="H70" s="43" t="str">
        <x:v>Intermediate</x:v>
      </x:c>
      <x:c r="I70" s="43" t="str">
        <x:v>Thermodynamics</x:v>
      </x:c>
      <x:c r="J70" s="43" t="str">
        <x:v>Use the ideal gas law to connect pressure, volume, temperature, and amount of gas.</x:v>
      </x:c>
      <x:c r="K70" s="43" t="str">
        <x:v>Ideal gas pressure comes from molecular collisions and follows PV = nRT.</x:v>
      </x:c>
      <x:c r="L70" s="43" t="str">
        <x:v>Ideal gas law: PV=nRT</x:v>
      </x:c>
      <x:c r="M70" s="43" t="str">
        <x:v>Gas container • Thermometer • PV graph</x:v>
      </x:c>
      <x:c r="N70" s="43" t="str">
        <x:v>At fixed n, pressure rises with temperature and falls as volume increases.</x:v>
      </x:c>
      <x:c r="O70" s="42" t="n">
        <x:v>95</x:v>
      </x:c>
      <x:c r="P70" s="43" t="str">
        <x:v>Misconception repair</x:v>
      </x:c>
      <x:c r="Q70" s="43" t="str">
        <x:v>How can we use gas laws and kinetic theory to predict temperature before reading the answer?</x:v>
      </x:c>
      <x:c r="R70" s="43" t="str">
        <x:v>A strong learner can write a prediction, collect temperature data, explain the trend, and apply it to a new case.</x:v>
      </x:c>
    </x:row>
    <x:row r="71">
      <x:c r="A71" s="42" t="n">
        <x:v>67</x:v>
      </x:c>
      <x:c r="B71" s="43" t="str">
        <x:v>Thermodynamics</x:v>
      </x:c>
      <x:c r="C71" s="43" t="str">
        <x:v>Heat</x:v>
      </x:c>
      <x:c r="D71" s="43" t="str">
        <x:v>Heat and Temperature</x:v>
      </x:c>
      <x:c r="E71" s="43" t="str">
        <x:v>Heat and Temperature</x:v>
      </x:c>
      <x:c r="F71" s="43" t="str">
        <x:v>heat-and-temperature</x:v>
      </x:c>
      <x:c r="G71" s="43" t="str">
        <x:v>Class 7</x:v>
      </x:c>
      <x:c r="H71" s="43" t="str">
        <x:v>Beginner</x:v>
      </x:c>
      <x:c r="I71" s="43" t="str">
        <x:v>Thermodynamics</x:v>
      </x:c>
      <x:c r="J71" s="43" t="str">
        <x:v>Compare temperature scales and estimate heat needed to change the temperature of a body.</x:v>
      </x:c>
      <x:c r="K71" s="43" t="str">
        <x:v>Temperature measures hotness, while heat is energy transferred because of a temperature difference.</x:v>
      </x:c>
      <x:c r="L71" s="43" t="str">
        <x:v>Temperature conversion: K = T_C + 273.15</x:v>
      </x:c>
      <x:c r="M71" s="43" t="str">
        <x:v>Thermometer • Water sample • Heat source • Temperature scale</x:v>
      </x:c>
      <x:c r="N71" s="43" t="str">
        <x:v>Kelvin rises one-to-one with Celsius, and heat needed increases with mass and specific heat.</x:v>
      </x:c>
      <x:c r="O71" s="42" t="n">
        <x:v>86</x:v>
      </x:c>
      <x:c r="P71" s="43" t="str">
        <x:v>Misconception repair</x:v>
      </x:c>
      <x:c r="Q71" s="43" t="str">
        <x:v>How can we use heat and temperature to predict temperature before reading the answer?</x:v>
      </x:c>
      <x:c r="R71" s="43" t="str">
        <x:v>A strong learner can write a prediction, collect temperature data, explain the trend, and apply it to a new case.</x:v>
      </x:c>
    </x:row>
    <x:row r="72">
      <x:c r="A72" s="42" t="n">
        <x:v>68</x:v>
      </x:c>
      <x:c r="B72" s="43" t="str">
        <x:v>Thermodynamics</x:v>
      </x:c>
      <x:c r="C72" s="43" t="str">
        <x:v>Heat • Matter, Thermal Physics, Oscillations, and Waves • Core Physics</x:v>
      </x:c>
      <x:c r="D72" s="43" t="str">
        <x:v>Transfer of Heat • Thermal Properties and Thermodynamics • Statistical and Thermal Physics</x:v>
      </x:c>
      <x:c r="E72" s="43" t="str">
        <x:v>Heat Transfer</x:v>
      </x:c>
      <x:c r="F72" s="43" t="str">
        <x:v>heat-transfer</x:v>
      </x:c>
      <x:c r="G72" s="43" t="str">
        <x:v>Class 7 / Class 11 foundation</x:v>
      </x:c>
      <x:c r="H72" s="43" t="str">
        <x:v>Beginner</x:v>
      </x:c>
      <x:c r="I72" s="43" t="str">
        <x:v>Thermodynamics</x:v>
      </x:c>
      <x:c r="J72" s="43" t="str">
        <x:v>Visualize conduction and estimate heat flow through materials of different thickness.</x:v>
      </x:c>
      <x:c r="K72" s="43" t="str">
        <x:v>Conduction transfers heat faster through high-conductivity, large-area, thin materials.</x:v>
      </x:c>
      <x:c r="L72" s="43" t="str">
        <x:v>Conduction rate: H = \frac{kA\Delta T}{L}</x:v>
      </x:c>
      <x:c r="M72" s="43" t="str">
        <x:v>Conduction bar • Thermometer • Heat source • Insulator sample</x:v>
      </x:c>
      <x:c r="N72" s="43" t="str">
        <x:v>Heat rate increases with conductivity and area, and decreases with thickness.</x:v>
      </x:c>
      <x:c r="O72" s="42" t="n">
        <x:v>86</x:v>
      </x:c>
      <x:c r="P72" s="43" t="str">
        <x:v>Misconception repair</x:v>
      </x:c>
      <x:c r="Q72" s="43" t="str">
        <x:v>How can we use heat transfer to predict area before reading the answer?</x:v>
      </x:c>
      <x:c r="R72" s="43" t="str">
        <x:v>A strong learner can write a prediction, collect area data, explain the trend, and apply it to a new case.</x:v>
      </x:c>
    </x:row>
    <x:row r="73">
      <x:c r="A73" s="42" t="n">
        <x:v>69</x:v>
      </x:c>
      <x:c r="B73" s="43" t="str">
        <x:v>Thermodynamics</x:v>
      </x:c>
      <x:c r="C73" s="43" t="str">
        <x:v>Advanced Physics</x:v>
      </x:c>
      <x:c r="D73" s="43" t="str">
        <x:v>Statistical Mechanics</x:v>
      </x:c>
      <x:c r="E73" s="43" t="str">
        <x:v>Statistical Ensemble Lab</x:v>
      </x:c>
      <x:c r="F73" s="43" t="str">
        <x:v>statistical-ensemble-lab</x:v>
      </x:c>
      <x:c r="G73" s="43" t="str">
        <x:v>Postgraduate</x:v>
      </x:c>
      <x:c r="H73" s="43" t="str">
        <x:v>Advanced</x:v>
      </x:c>
      <x:c r="I73" s="43" t="str">
        <x:v>Thermodynamics</x:v>
      </x:c>
      <x:c r="J73" s="43" t="str">
        <x:v>Compare microstates, ensemble averages, phase tendency, and transport response without long derivations.</x:v>
      </x:c>
      <x:c r="K73" s="43" t="str">
        <x:v>Statistical mechanics connects many microscopic configurations to macroscopic quantities such as temperature, pressure, entropy, and fluctuations.</x:v>
      </x:c>
      <x:c r="L73" s="43" t="str">
        <x:v>Boltzmann weight: P(E)\propto e^{-E/kT}</x:v>
      </x:c>
      <x:c r="M73" s="43" t="str">
        <x:v>Particle ensemble • Temperature dial • Phase map • Distribution graph</x:v>
      </x:c>
      <x:c r="N73" s="43" t="str">
        <x:v>Higher temperature broadens the energy distribution and increases average kinetic energy and fluctuations.</x:v>
      </x:c>
      <x:c r="O73" s="42" t="n">
        <x:v>85</x:v>
      </x:c>
      <x:c r="P73" s="43" t="str">
        <x:v>Misconception repair</x:v>
      </x:c>
      <x:c r="Q73" s="43" t="str">
        <x:v>How can we use statistical ensemble lab to predict particles before reading the answer?</x:v>
      </x:c>
      <x:c r="R73" s="43" t="str">
        <x:v>A strong learner can write a prediction, collect particles data, explain the trend, and apply it to a new case.</x:v>
      </x:c>
    </x:row>
    <x:row r="74">
      <x:c r="A74" s="42" t="n">
        <x:v>70</x:v>
      </x:c>
      <x:c r="B74" s="43" t="str">
        <x:v>Thermodynamics</x:v>
      </x:c>
      <x:c r="C74" s="43" t="str">
        <x:v>Matter, Thermal Physics, Oscillations, and Waves • Core Physics</x:v>
      </x:c>
      <x:c r="D74" s="43" t="str">
        <x:v>Thermal Properties and Thermodynamics • Statistical and Thermal Physics</x:v>
      </x:c>
      <x:c r="E74" s="43" t="str">
        <x:v>Thermodynamic Processes</x:v>
      </x:c>
      <x:c r="F74" s="43" t="str">
        <x:v>thermodynamic-process</x:v>
      </x:c>
      <x:c r="G74" s="43" t="str">
        <x:v>Class 11</x:v>
      </x:c>
      <x:c r="H74" s="43" t="str">
        <x:v>Intermediate</x:v>
      </x:c>
      <x:c r="I74" s="43" t="str">
        <x:v>Thermodynamics</x:v>
      </x:c>
      <x:c r="J74" s="43" t="str">
        <x:v>Compare isothermal, isobaric, and isochoric process work and heat trends.</x:v>
      </x:c>
      <x:c r="K74" s="43" t="str">
        <x:v>Work done by a gas is the area under the PV curve, with different constraints for different processes.</x:v>
      </x:c>
      <x:c r="L74" s="43" t="str">
        <x:v>Gas work: W=P\Delta V</x:v>
      </x:c>
      <x:c r="M74" s="43" t="str">
        <x:v>Gas container • Piston • PV graph</x:v>
      </x:c>
      <x:c r="N74" s="43" t="str">
        <x:v>Isochoric work is zero, while isobaric work equals pressure times volume change.</x:v>
      </x:c>
      <x:c r="O74" s="42" t="n">
        <x:v>86</x:v>
      </x:c>
      <x:c r="P74" s="43" t="str">
        <x:v>Misconception repair</x:v>
      </x:c>
      <x:c r="Q74" s="43" t="str">
        <x:v>How can we use thermodynamic processes to predict delta volume before reading the answer?</x:v>
      </x:c>
      <x:c r="R74" s="43" t="str">
        <x:v>A strong learner can write a prediction, collect delta volume data, explain the trend, and apply it to a new case.</x:v>
      </x:c>
    </x:row>
    <x:row r="75">
      <x:c r="A75" s="42" t="n">
        <x:v>71</x:v>
      </x:c>
      <x:c r="B75" s="43" t="str">
        <x:v>Waves</x:v>
      </x:c>
      <x:c r="C75" s="43" t="str">
        <x:v>Friction, Sound, and Light • Matter, Thermal Physics, Oscillations, and Waves</x:v>
      </x:c>
      <x:c r="D75" s="43" t="str">
        <x:v>Sound • Oscillations and Waves • Resonance and Forced Oscillations</x:v>
      </x:c>
      <x:c r="E75" s="43" t="str">
        <x:v>Chladni Plate</x:v>
      </x:c>
      <x:c r="F75" s="43" t="str">
        <x:v>chladni-plate</x:v>
      </x:c>
      <x:c r="G75" s="43" t="str">
        <x:v>High school / undergraduate enrichment</x:v>
      </x:c>
      <x:c r="H75" s="43" t="str">
        <x:v>Advanced</x:v>
      </x:c>
      <x:c r="I75" s="43" t="str">
        <x:v>Waves</x:v>
      </x:c>
      <x:c r="J75" s="43" t="str">
        <x:v>Visualize standing-wave nodal patterns on a vibrating plate.</x:v>
      </x:c>
      <x:c r="K75" s="43" t="str">
        <x:v>Sand gathers along nodes where the plate has minimal vibration.</x:v>
      </x:c>
      <x:c r="L75" s="43" t="str"/>
      <x:c r="M75" s="43" t="str">
        <x:v>Chladni plate • Audio oscillator</x:v>
      </x:c>
      <x:c r="N75" s="43" t="str">
        <x:v>Higher resonant frequencies produce more complex nodal patterns.</x:v>
      </x:c>
      <x:c r="O75" s="42" t="n">
        <x:v>76</x:v>
      </x:c>
      <x:c r="P75" s="43" t="str">
        <x:v>Transfer practice</x:v>
      </x:c>
      <x:c r="Q75" s="43" t="str">
        <x:v>How can we use chladni plate to predict frequency before reading the answer?</x:v>
      </x:c>
      <x:c r="R75" s="43" t="str">
        <x:v>A strong learner can write a prediction, collect frequency data, explain the trend, and apply it to a new case.</x:v>
      </x:c>
    </x:row>
    <x:row r="76">
      <x:c r="A76" s="42" t="n">
        <x:v>72</x:v>
      </x:c>
      <x:c r="B76" s="43" t="str">
        <x:v>Waves</x:v>
      </x:c>
      <x:c r="C76" s="43" t="str">
        <x:v>Motion, Force, and Work</x:v>
      </x:c>
      <x:c r="D76" s="43" t="str">
        <x:v>Sound</x:v>
      </x:c>
      <x:c r="E76" s="43" t="str">
        <x:v>Echo and Speed of Sound</x:v>
      </x:c>
      <x:c r="F76" s="43" t="str">
        <x:v>echo-speed-sound</x:v>
      </x:c>
      <x:c r="G76" s="43" t="str">
        <x:v>Class 9</x:v>
      </x:c>
      <x:c r="H76" s="43" t="str">
        <x:v>Intermediate</x:v>
      </x:c>
      <x:c r="I76" s="43" t="str">
        <x:v>Waves</x:v>
      </x:c>
      <x:c r="J76" s="43" t="str">
        <x:v>Use echo timing to estimate distance or sound speed.</x:v>
      </x:c>
      <x:c r="K76" s="43" t="str">
        <x:v>An echo is reflected sound; the measured time is for the sound to travel to the reflector and back.</x:v>
      </x:c>
      <x:c r="L76" s="43" t="str">
        <x:v>Echo distance: d = \frac{vt}{2}</x:v>
      </x:c>
      <x:c r="M76" s="43" t="str">
        <x:v>Sound source • Wall • Stopwatch • Temperature control</x:v>
      </x:c>
      <x:c r="N76" s="43" t="str">
        <x:v>Distance to the reflector is half the sound travel distance.</x:v>
      </x:c>
      <x:c r="O76" s="42" t="n">
        <x:v>89</x:v>
      </x:c>
      <x:c r="P76" s="43" t="str">
        <x:v>Misconception repair</x:v>
      </x:c>
      <x:c r="Q76" s="43" t="str">
        <x:v>How can we use echo and speed of sound to predict temperature before reading the answer?</x:v>
      </x:c>
      <x:c r="R76" s="43" t="str">
        <x:v>A strong learner can write a prediction, collect temperature data, explain the trend, and apply it to a new case.</x:v>
      </x:c>
    </x:row>
    <x:row r="77">
      <x:c r="A77" s="42" t="n">
        <x:v>73</x:v>
      </x:c>
      <x:c r="B77" s="43" t="str">
        <x:v>Waves</x:v>
      </x:c>
      <x:c r="C77" s="43" t="str">
        <x:v>Optics and Modern Physics • Advanced Physics</x:v>
      </x:c>
      <x:c r="D77" s="43" t="str">
        <x:v>Electromagnetic Waves • Plasma and Astrophysics</x:v>
      </x:c>
      <x:c r="E77" s="43" t="str">
        <x:v>Electromagnetic Spectrum</x:v>
      </x:c>
      <x:c r="F77" s="43" t="str">
        <x:v>em-spectrum</x:v>
      </x:c>
      <x:c r="G77" s="43" t="str">
        <x:v>Class 12</x:v>
      </x:c>
      <x:c r="H77" s="43" t="str">
        <x:v>Intermediate</x:v>
      </x:c>
      <x:c r="I77" s="43" t="str">
        <x:v>Waves</x:v>
      </x:c>
      <x:c r="J77" s="43" t="str">
        <x:v>Relate wavelength, frequency, energy, and common EM spectrum bands.</x:v>
      </x:c>
      <x:c r="K77" s="43" t="str">
        <x:v>All electromagnetic waves travel at c in vacuum and satisfy c = f lambda.</x:v>
      </x:c>
      <x:c r="L77" s="43" t="str">
        <x:v>EM wave relation: c=f\lambda</x:v>
      </x:c>
      <x:c r="M77" s="43" t="str">
        <x:v>Spectrum viewer • Frequency slider • Wavelength scale</x:v>
      </x:c>
      <x:c r="N77" s="43" t="str">
        <x:v>Higher frequency means shorter wavelength and higher photon energy.</x:v>
      </x:c>
      <x:c r="O77" s="42" t="n">
        <x:v>95</x:v>
      </x:c>
      <x:c r="P77" s="43" t="str">
        <x:v>Misconception repair</x:v>
      </x:c>
      <x:c r="Q77" s="43" t="str">
        <x:v>How can we use electromagnetic spectrum to predict wavelength before reading the answer?</x:v>
      </x:c>
      <x:c r="R77" s="43" t="str">
        <x:v>A strong learner can write a prediction, collect wavelength data, explain the trend, and apply it to a new case.</x:v>
      </x:c>
    </x:row>
    <x:row r="78">
      <x:c r="A78" s="42" t="n">
        <x:v>74</x:v>
      </x:c>
      <x:c r="B78" s="43" t="str">
        <x:v>Waves</x:v>
      </x:c>
      <x:c r="C78" s="43" t="str">
        <x:v>Motion, Force, and Work</x:v>
      </x:c>
      <x:c r="D78" s="43" t="str">
        <x:v>Sound</x:v>
      </x:c>
      <x:c r="E78" s="43" t="str">
        <x:v>Longitudinal Sound Wave</x:v>
      </x:c>
      <x:c r="F78" s="43" t="str">
        <x:v>sound-wave-anatomy</x:v>
      </x:c>
      <x:c r="G78" s="43" t="str">
        <x:v>Class 8 / Class 9</x:v>
      </x:c>
      <x:c r="H78" s="43" t="str">
        <x:v>Beginner</x:v>
      </x:c>
      <x:c r="I78" s="43" t="str">
        <x:v>Waves</x:v>
      </x:c>
      <x:c r="J78" s="43" t="str">
        <x:v>Visualize compressions, rarefactions, wavelength, frequency, amplitude, and speed of sound.</x:v>
      </x:c>
      <x:c r="K78" s="43" t="str">
        <x:v>Sound in air is a longitudinal pressure wave. Particles oscillate back and forth while energy travels through the medium.</x:v>
      </x:c>
      <x:c r="L78" s="43" t="str">
        <x:v>Wave speed: v=f\lambda</x:v>
      </x:c>
      <x:c r="M78" s="43" t="str">
        <x:v>Slinky • Tuning fork • Microphone • Oscilloscope</x:v>
      </x:c>
      <x:c r="N78" s="43" t="str">
        <x:v>For fixed sound speed, higher frequency gives shorter wavelength.</x:v>
      </x:c>
      <x:c r="O78" s="42" t="n">
        <x:v>89</x:v>
      </x:c>
      <x:c r="P78" s="43" t="str">
        <x:v>Misconception repair</x:v>
      </x:c>
      <x:c r="Q78" s="43" t="str">
        <x:v>How can we use longitudinal sound wave to predict amplitude before reading the answer?</x:v>
      </x:c>
      <x:c r="R78" s="43" t="str">
        <x:v>A strong learner can write a prediction, collect amplitude data, explain the trend, and apply it to a new case.</x:v>
      </x:c>
    </x:row>
    <x:row r="79">
      <x:c r="A79" s="42" t="n">
        <x:v>75</x:v>
      </x:c>
      <x:c r="B79" s="43" t="str">
        <x:v>Waves</x:v>
      </x:c>
      <x:c r="C79" s="43" t="str">
        <x:v>Optics and Modern Physics • Core Physics</x:v>
      </x:c>
      <x:c r="D79" s="43" t="str">
        <x:v>Wave Optics • Optics and Waves</x:v>
      </x:c>
      <x:c r="E79" s="43" t="str">
        <x:v>Polarization Lab</x:v>
      </x:c>
      <x:c r="F79" s="43" t="str">
        <x:v>polarization-lab</x:v>
      </x:c>
      <x:c r="G79" s="43" t="str">
        <x:v>Class 12</x:v>
      </x:c>
      <x:c r="H79" s="43" t="str">
        <x:v>Intermediate</x:v>
      </x:c>
      <x:c r="I79" s="43" t="str">
        <x:v>Waves • Optics</x:v>
      </x:c>
      <x:c r="J79" s="43" t="str">
        <x:v>Use two polarizers to verify Malus' law for transmitted light intensity.</x:v>
      </x:c>
      <x:c r="K79" s="43" t="str">
        <x:v>Plane polarized light passing through an analyzer has intensity I = I0 cos^2(theta).</x:v>
      </x:c>
      <x:c r="L79" s="43" t="str">
        <x:v>Malus' law: I=I_0\cos^2\theta</x:v>
      </x:c>
      <x:c r="M79" s="43" t="str">
        <x:v>Light source • Polarizer • Analyzer • Intensity meter</x:v>
      </x:c>
      <x:c r="N79" s="43" t="str">
        <x:v>Intensity is maximum at 0 degrees and near zero at 90 degrees.</x:v>
      </x:c>
      <x:c r="O79" s="42" t="n">
        <x:v>89</x:v>
      </x:c>
      <x:c r="P79" s="43" t="str">
        <x:v>Misconception repair</x:v>
      </x:c>
      <x:c r="Q79" s="43" t="str">
        <x:v>How can we use polarization lab to predict analyzer angle before reading the answer?</x:v>
      </x:c>
      <x:c r="R79" s="43" t="str">
        <x:v>A strong learner can write a prediction, collect analyzer angle data, explain the trend, and apply it to a new case.</x:v>
      </x:c>
    </x:row>
    <x:row r="80">
      <x:c r="A80" s="42" t="n">
        <x:v>76</x:v>
      </x:c>
      <x:c r="B80" s="43" t="str">
        <x:v>Waves</x:v>
      </x:c>
      <x:c r="C80" s="43" t="str">
        <x:v>Optics and Modern Physics • Core Physics</x:v>
      </x:c>
      <x:c r="D80" s="43" t="str">
        <x:v>Wave Optics • Optics and Waves</x:v>
      </x:c>
      <x:c r="E80" s="43" t="str">
        <x:v>Single Slit Diffraction</x:v>
      </x:c>
      <x:c r="F80" s="43" t="str">
        <x:v>single-slit-diffraction</x:v>
      </x:c>
      <x:c r="G80" s="43" t="str">
        <x:v>High school / undergraduate foundation</x:v>
      </x:c>
      <x:c r="H80" s="43" t="str">
        <x:v>Intermediate</x:v>
      </x:c>
      <x:c r="I80" s="43" t="str">
        <x:v>Waves • Optics</x:v>
      </x:c>
      <x:c r="J80" s="43" t="str">
        <x:v>Observe diffraction through a single slit.</x:v>
      </x:c>
      <x:c r="K80" s="43" t="str">
        <x:v>A barrier with a narrow opening spreads an incoming wavefront into a diffraction pattern.</x:v>
      </x:c>
      <x:c r="L80" s="43" t="str"/>
      <x:c r="M80" s="43" t="str">
        <x:v>Wave source • Barrier • Slit</x:v>
      </x:c>
      <x:c r="N80" s="43" t="str">
        <x:v>Narrower slits create wider spreading behind the barrier.</x:v>
      </x:c>
      <x:c r="O80" s="42" t="n">
        <x:v>77</x:v>
      </x:c>
      <x:c r="P80" s="43" t="str">
        <x:v>Transfer practice</x:v>
      </x:c>
      <x:c r="Q80" s="43" t="str">
        <x:v>How can we use single slit diffraction to predict gap width before reading the answer?</x:v>
      </x:c>
      <x:c r="R80" s="43" t="str">
        <x:v>A strong learner can write a prediction, collect gap width data, explain the trend, and apply it to a new case.</x:v>
      </x:c>
    </x:row>
    <x:row r="81">
      <x:c r="A81" s="42" t="n">
        <x:v>77</x:v>
      </x:c>
      <x:c r="B81" s="43" t="str">
        <x:v>Waves</x:v>
      </x:c>
      <x:c r="C81" s="43" t="str">
        <x:v>Motion, Force, and Work</x:v>
      </x:c>
      <x:c r="D81" s="43" t="str">
        <x:v>Sound</x:v>
      </x:c>
      <x:c r="E81" s="43" t="str">
        <x:v>Sound Pitch and Loudness</x:v>
      </x:c>
      <x:c r="F81" s="43" t="str">
        <x:v>sound-pitch-loudness</x:v>
      </x:c>
      <x:c r="G81" s="43" t="str">
        <x:v>Class 8 / Class 9</x:v>
      </x:c>
      <x:c r="H81" s="43" t="str">
        <x:v>Beginner</x:v>
      </x:c>
      <x:c r="I81" s="43" t="str">
        <x:v>Waves</x:v>
      </x:c>
      <x:c r="J81" s="43" t="str">
        <x:v>Relate frequency to pitch, amplitude to loudness, and wavelength to wave speed.</x:v>
      </x:c>
      <x:c r="K81" s="43" t="str">
        <x:v>Pitch depends on frequency, loudness depends on amplitude and intensity, and wavelength equals speed divided by frequency.</x:v>
      </x:c>
      <x:c r="L81" s="43" t="str">
        <x:v>Wave relation: v = f\lambda</x:v>
      </x:c>
      <x:c r="M81" s="43" t="str">
        <x:v>Wave source • Audio oscillator • Graph plotter</x:v>
      </x:c>
      <x:c r="N81" s="43" t="str">
        <x:v>Higher frequency gives higher pitch; higher amplitude gives louder sound.</x:v>
      </x:c>
      <x:c r="O81" s="42" t="n">
        <x:v>95</x:v>
      </x:c>
      <x:c r="P81" s="43" t="str">
        <x:v>Misconception repair</x:v>
      </x:c>
      <x:c r="Q81" s="43" t="str">
        <x:v>How can we use sound pitch and loudness to predict amplitude before reading the answer?</x:v>
      </x:c>
      <x:c r="R81" s="43" t="str">
        <x:v>A strong learner can write a prediction, collect amplitude data, explain the trend, and apply it to a new case.</x:v>
      </x:c>
    </x:row>
    <x:row r="82">
      <x:c r="A82" s="42" t="n">
        <x:v>78</x:v>
      </x:c>
      <x:c r="B82" s="43" t="str">
        <x:v>Waves</x:v>
      </x:c>
      <x:c r="C82" s="43" t="str">
        <x:v>Matter, Thermal Physics, Oscillations, and Waves</x:v>
      </x:c>
      <x:c r="D82" s="43" t="str">
        <x:v>Oscillations and Waves • Simple Harmonic Motion - Pendulum and Spring • Resonance and Forced Oscillations</x:v>
      </x:c>
      <x:c r="E82" s="43" t="str">
        <x:v>Spring-Mass SHM</x:v>
      </x:c>
      <x:c r="F82" s="43" t="str">
        <x:v>shm-spring</x:v>
      </x:c>
      <x:c r="G82" s="43" t="str">
        <x:v>Class 11</x:v>
      </x:c>
      <x:c r="H82" s="43" t="str">
        <x:v>Intermediate</x:v>
      </x:c>
      <x:c r="I82" s="43" t="str">
        <x:v>Waves • Mechanics</x:v>
      </x:c>
      <x:c r="J82" s="43" t="str">
        <x:v>Study simple harmonic motion of a spring-mass oscillator.</x:v>
      </x:c>
      <x:c r="K82" s="43" t="str">
        <x:v>For small oscillations, angular frequency is sqrt(k/m), independent of amplitude.</x:v>
      </x:c>
      <x:c r="L82" s="43" t="str">
        <x:v>Spring period: T=2\pi\sqrt{\frac{m}{k}}</x:v>
      </x:c>
      <x:c r="M82" s="43" t="str">
        <x:v>Spring • Mass • Timer • Graph plotter</x:v>
      </x:c>
      <x:c r="N82" s="43" t="str">
        <x:v>Increasing mass increases period; increasing spring constant decreases period.</x:v>
      </x:c>
      <x:c r="O82" s="42" t="n">
        <x:v>95</x:v>
      </x:c>
      <x:c r="P82" s="43" t="str">
        <x:v>Misconception repair</x:v>
      </x:c>
      <x:c r="Q82" s="43" t="str">
        <x:v>How can we use spring-mass shm to predict mass before reading the answer?</x:v>
      </x:c>
      <x:c r="R82" s="43" t="str">
        <x:v>A strong learner can write a prediction, collect mass data, explain the trend, and apply it to a new case.</x:v>
      </x:c>
    </x:row>
    <x:row r="83">
      <x:c r="A83" s="42" t="n">
        <x:v>79</x:v>
      </x:c>
      <x:c r="B83" s="43" t="str">
        <x:v>Waves</x:v>
      </x:c>
      <x:c r="C83" s="43" t="str">
        <x:v>Friction, Sound, and Light • Motion, Force, and Work • Matter, Thermal Physics, Oscillations, and Waves • Optics and Modern Physics</x:v>
      </x:c>
      <x:c r="D83" s="43" t="str">
        <x:v>Sound • Oscillations and Waves • Wave Optics</x:v>
      </x:c>
      <x:c r="E83" s="43" t="str">
        <x:v>Wave Lab</x:v>
      </x:c>
      <x:c r="F83" s="43" t="str">
        <x:v>wave-lab</x:v>
      </x:c>
      <x:c r="G83" s="43" t="str">
        <x:v>High school / undergraduate foundation</x:v>
      </x:c>
      <x:c r="H83" s="43" t="str">
        <x:v>Intermediate</x:v>
      </x:c>
      <x:c r="I83" s="43" t="str">
        <x:v>Waves</x:v>
      </x:c>
      <x:c r="J83" s="43" t="str">
        <x:v>Observe interference from two coherent point wave sources.</x:v>
      </x:c>
      <x:c r="K83" s="43" t="str">
        <x:v>Two in-phase sources generate constructive and destructive interference where path differences align or oppose phase.</x:v>
      </x:c>
      <x:c r="L83" s="43" t="str"/>
      <x:c r="M83" s="43" t="str">
        <x:v>Wave sources • Wave heatmap • Canvas</x:v>
      </x:c>
      <x:c r="N83" s="43" t="str">
        <x:v>Stable interference bands form between two coherent sources.</x:v>
      </x:c>
      <x:c r="O83" s="42" t="n">
        <x:v>79</x:v>
      </x:c>
      <x:c r="P83" s="43" t="str">
        <x:v>Measurement skill</x:v>
      </x:c>
      <x:c r="Q83" s="43" t="str">
        <x:v>How can we use wave lab to predict frequency before reading the answer?</x:v>
      </x:c>
      <x:c r="R83" s="43" t="str">
        <x:v>A strong learner can write a prediction, collect frequency data, explain the trend, and apply it to a new case.</x:v>
      </x:c>
    </x:row>
    <x:row r="84">
      <x:c r="A84" s="42" t="n">
        <x:v>80</x:v>
      </x:c>
      <x:c r="B84" s="43" t="str">
        <x:v>Waves</x:v>
      </x:c>
      <x:c r="C84" s="43" t="str">
        <x:v>Optics and Modern Physics • Core Physics</x:v>
      </x:c>
      <x:c r="D84" s="43" t="str">
        <x:v>Wave Optics • Optics and Waves</x:v>
      </x:c>
      <x:c r="E84" s="43" t="str">
        <x:v>Young's Double Slit</x:v>
      </x:c>
      <x:c r="F84" s="43" t="str">
        <x:v>young-double-slit</x:v>
      </x:c>
      <x:c r="G84" s="43" t="str">
        <x:v>Class 12</x:v>
      </x:c>
      <x:c r="H84" s="43" t="str">
        <x:v>Intermediate</x:v>
      </x:c>
      <x:c r="I84" s="43" t="str">
        <x:v>Waves • Optics</x:v>
      </x:c>
      <x:c r="J84" s="43" t="str">
        <x:v>Measure fringe width in a two-slit interference pattern.</x:v>
      </x:c>
      <x:c r="K84" s="43" t="str">
        <x:v>Coherent light from two slits creates bright and dark fringes with beta = lambda D / d.</x:v>
      </x:c>
      <x:c r="L84" s="43" t="str">
        <x:v>Fringe width: \beta=\frac{\lambda D}{d}</x:v>
      </x:c>
      <x:c r="M84" s="43" t="str">
        <x:v>Coherent source • Double slit • Screen</x:v>
      </x:c>
      <x:c r="N84" s="43" t="str">
        <x:v>Fringe width increases with wavelength and screen distance, and decreases with slit separation.</x:v>
      </x:c>
      <x:c r="O84" s="42" t="n">
        <x:v>89</x:v>
      </x:c>
      <x:c r="P84" s="43" t="str">
        <x:v>Misconception repair</x:v>
      </x:c>
      <x:c r="Q84" s="43" t="str">
        <x:v>How can we use young's double slit to predict screen distance before reading the answer?</x:v>
      </x:c>
      <x:c r="R84" s="43" t="str">
        <x:v>A strong learner can write a prediction, collect screen distance data, explain the trend, and apply it to a new case.</x:v>
      </x:c>
    </x:row>
  </x:sheetData>
  <x:mergeCells>
    <x:mergeCell ref="A1:R1"/>
    <x:mergeCell ref="A2:R2"/>
  </x:mergeCells>
  <x:conditionalFormatting sqref="O5:O84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ccf658f317945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32" hidden="0" customWidth="1"/>
    <x:col min="4" max="4" width="25" hidden="0" customWidth="1"/>
    <x:col min="5" max="5" width="16" hidden="0" customWidth="1"/>
    <x:col min="6" max="6" width="9" hidden="0" customWidth="1"/>
    <x:col min="7" max="7" width="28" hidden="0" customWidth="1"/>
    <x:col min="8" max="8" width="9" hidden="0" customWidth="1"/>
    <x:col min="9" max="9" width="15" hidden="0" customWidth="1"/>
    <x:col min="10" max="10" width="50" hidden="0" customWidth="1"/>
    <x:col min="11" max="11" width="36" hidden="0" customWidth="1"/>
    <x:col min="12" max="12" width="45" hidden="0" customWidth="1"/>
    <x:col min="13" max="13" width="20" hidden="0" customWidth="1"/>
    <x:col min="14" max="14" width="40" hidden="0" customWidth="1"/>
    <x:col min="15" max="15" width="34" hidden="0" customWidth="1"/>
    <x:col min="16" max="16" width="50" hidden="0" customWidth="1"/>
  </x:cols>
  <x:sheetData>
    <x:row r="1" ht="32" customHeight="1">
      <x:c r="A1" s="32" t="str">
        <x:v>Curriculum Map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</x:row>
    <x:row r="2" ht="30" customHeight="1">
      <x:c r="A2" s="33" t="str">
        <x:v>Extracted from the Physics Simulator curriculum, experiment, and Learning Studio registries.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</x:row>
    <x:row r="4" ht="34" customHeight="1">
      <x:c r="A4" s="41" t="str">
        <x:v>Category / Domain</x:v>
      </x:c>
      <x:c r="B4" s="41" t="str">
        <x:v>Subcategory / Unit</x:v>
      </x:c>
      <x:c r="C4" s="41" t="str">
        <x:v>Topic</x:v>
      </x:c>
      <x:c r="D4" s="41" t="str">
        <x:v>Topic ID</x:v>
      </x:c>
      <x:c r="E4" s="41" t="str">
        <x:v>Class</x:v>
      </x:c>
      <x:c r="F4" s="41" t="str">
        <x:v>Grade</x:v>
      </x:c>
      <x:c r="G4" s="41" t="str">
        <x:v>Unit ID</x:v>
      </x:c>
      <x:c r="H4" s="41" t="str">
        <x:v>Marks</x:v>
      </x:c>
      <x:c r="I4" s="41" t="str">
        <x:v>Learning Stage</x:v>
      </x:c>
      <x:c r="J4" s="41" t="str">
        <x:v>Outcomes</x:v>
      </x:c>
      <x:c r="K4" s="41" t="str">
        <x:v>Tools</x:v>
      </x:c>
      <x:c r="L4" s="41" t="str">
        <x:v>Mapped Lessons</x:v>
      </x:c>
      <x:c r="M4" s="41" t="str">
        <x:v>Numeric Lesson IDs</x:v>
      </x:c>
      <x:c r="N4" s="41" t="str">
        <x:v>Lesson Codes</x:v>
      </x:c>
      <x:c r="O4" s="41" t="str">
        <x:v>Curriculum Source</x:v>
      </x:c>
      <x:c r="P4" s="41" t="str">
        <x:v>Class Description</x:v>
      </x:c>
    </x:row>
    <x:row r="5">
      <x:c r="A5" s="43" t="str">
        <x:v>Optics</x:v>
      </x:c>
      <x:c r="B5" s="43" t="str">
        <x:v>Light, Motion, Electricity</x:v>
      </x:c>
      <x:c r="C5" s="43" t="str">
        <x:v>Light, Shadows, and Reflection</x:v>
      </x:c>
      <x:c r="D5" s="43" t="str">
        <x:v>c6-light-shadows</x:v>
      </x:c>
      <x:c r="E5" s="43" t="str">
        <x:v>Class 6</x:v>
      </x:c>
      <x:c r="F5" s="44" t="n">
        <x:v>6</x:v>
      </x:c>
      <x:c r="G5" s="44" t="str">
        <x:v>c6-light-motion-electricity</x:v>
      </x:c>
      <x:c r="H5" s="44"/>
      <x:c r="I5" s="43" t="str">
        <x:v>experiment</x:v>
      </x:c>
      <x:c r="J5" s="43" t="str">
        <x:v>Identify sources, shadows, and simple reflection.</x:v>
      </x:c>
      <x:c r="K5" s="43" t="str">
        <x:v>Light ray • Shadow screen</x:v>
      </x:c>
      <x:c r="L5" s="43" t="str">
        <x:v>Shadows and Eclipses • Reflection by Plane Mirror</x:v>
      </x:c>
      <x:c r="M5" s="43" t="str">
        <x:v>62 • 61</x:v>
      </x:c>
      <x:c r="N5" s="43" t="str">
        <x:v>shadows-eclipses • reflection-plane-mirror</x:v>
      </x:c>
      <x:c r="O5" s="43" t="str">
        <x:v>Middle-school science bridge</x:v>
      </x:c>
      <x:c r="P5" s="43" t="str">
        <x:v>Observation-first physics vocabulary before formal formulas.</x:v>
      </x:c>
    </x:row>
    <x:row r="6">
      <x:c r="A6" s="43" t="str">
        <x:v>Magnetism</x:v>
      </x:c>
      <x:c r="B6" s="43" t="str">
        <x:v>Light, Motion, Electricity</x:v>
      </x:c>
      <x:c r="C6" s="43" t="str">
        <x:v>Magnets</x:v>
      </x:c>
      <x:c r="D6" s="43" t="str">
        <x:v>c6-magnets</x:v>
      </x:c>
      <x:c r="E6" s="43" t="str">
        <x:v>Class 6</x:v>
      </x:c>
      <x:c r="F6" s="44" t="n">
        <x:v>6</x:v>
      </x:c>
      <x:c r="G6" s="44" t="str">
        <x:v>c6-light-motion-electricity</x:v>
      </x:c>
      <x:c r="H6" s="44"/>
      <x:c r="I6" s="43" t="str">
        <x:v>experiment</x:v>
      </x:c>
      <x:c r="J6" s="43" t="str">
        <x:v>Compare poles, attraction, repulsion, and compass direction.</x:v>
      </x:c>
      <x:c r="K6" s="43" t="str">
        <x:v>Bar magnet • Compass</x:v>
      </x:c>
      <x:c r="L6" s="43" t="str">
        <x:v>Magnetic Field Around Current</x:v>
      </x:c>
      <x:c r="M6" s="43" t="str">
        <x:v>28</x:v>
      </x:c>
      <x:c r="N6" s="43" t="str">
        <x:v>magnetic-field-current</x:v>
      </x:c>
      <x:c r="O6" s="43" t="str">
        <x:v>Middle-school science bridge</x:v>
      </x:c>
      <x:c r="P6" s="43" t="str">
        <x:v>Observation-first physics vocabulary before formal formulas.</x:v>
      </x:c>
    </x:row>
    <x:row r="7">
      <x:c r="A7" s="43" t="str">
        <x:v>Measurement</x:v>
      </x:c>
      <x:c r="B7" s="43" t="str">
        <x:v>Light, Motion, Electricity</x:v>
      </x:c>
      <x:c r="C7" s="43" t="str">
        <x:v>Motion and Measurement</x:v>
      </x:c>
      <x:c r="D7" s="43" t="str">
        <x:v>c6-motion-measurement</x:v>
      </x:c>
      <x:c r="E7" s="43" t="str">
        <x:v>Class 6</x:v>
      </x:c>
      <x:c r="F7" s="44" t="n">
        <x:v>6</x:v>
      </x:c>
      <x:c r="G7" s="44" t="str">
        <x:v>c6-light-motion-electricity</x:v>
      </x:c>
      <x:c r="H7" s="44"/>
      <x:c r="I7" s="43" t="str">
        <x:v>experiment</x:v>
      </x:c>
      <x:c r="J7" s="43" t="str">
        <x:v>Measure length and time, then compare slow and fast motion.</x:v>
      </x:c>
      <x:c r="K7" s="43" t="str">
        <x:v>Ruler • Stopwatch</x:v>
      </x:c>
      <x:c r="L7" s="43" t="str">
        <x:v>Measurement, Error, and Significant Figures • Uniform Motion</x:v>
      </x:c>
      <x:c r="M7" s="43" t="str">
        <x:v>30 • 45</x:v>
      </x:c>
      <x:c r="N7" s="43" t="str">
        <x:v>measurement-errors • uniform-motion</x:v>
      </x:c>
      <x:c r="O7" s="43" t="str">
        <x:v>Middle-school science bridge</x:v>
      </x:c>
      <x:c r="P7" s="43" t="str">
        <x:v>Observation-first physics vocabulary before formal formulas.</x:v>
      </x:c>
    </x:row>
    <x:row r="8">
      <x:c r="A8" s="43" t="str">
        <x:v>Electricity</x:v>
      </x:c>
      <x:c r="B8" s="43" t="str">
        <x:v>Light, Motion, Electricity</x:v>
      </x:c>
      <x:c r="C8" s="43" t="str">
        <x:v>Simple Electric Circuits</x:v>
      </x:c>
      <x:c r="D8" s="43" t="str">
        <x:v>c6-simple-circuits</x:v>
      </x:c>
      <x:c r="E8" s="43" t="str">
        <x:v>Class 6</x:v>
      </x:c>
      <x:c r="F8" s="44" t="n">
        <x:v>6</x:v>
      </x:c>
      <x:c r="G8" s="44" t="str">
        <x:v>c6-light-motion-electricity</x:v>
      </x:c>
      <x:c r="H8" s="44"/>
      <x:c r="I8" s="43" t="str">
        <x:v>experiment</x:v>
      </x:c>
      <x:c r="J8" s="43" t="str">
        <x:v>Build a closed circuit and explain why a bulb glows.</x:v>
      </x:c>
      <x:c r="K8" s="43" t="str">
        <x:v>Battery • Bulb • Switch</x:v>
      </x:c>
      <x:c r="L8" s="43" t="str">
        <x:v>Ohm's Law V-I Graph</x:v>
      </x:c>
      <x:c r="M8" s="43" t="str">
        <x:v>14</x:v>
      </x:c>
      <x:c r="N8" s="43" t="str">
        <x:v>ohms-law</x:v>
      </x:c>
      <x:c r="O8" s="43" t="str">
        <x:v>Middle-school science bridge</x:v>
      </x:c>
      <x:c r="P8" s="43" t="str">
        <x:v>Observation-first physics vocabulary before formal formulas.</x:v>
      </x:c>
    </x:row>
    <x:row r="9">
      <x:c r="A9" s="43" t="str">
        <x:v>Electricity</x:v>
      </x:c>
      <x:c r="B9" s="43" t="str">
        <x:v>Electric Current and Its Effects</x:v>
      </x:c>
      <x:c r="C9" s="43" t="str">
        <x:v>Heating Effect of Current</x:v>
      </x:c>
      <x:c r="D9" s="43" t="str">
        <x:v>c7-heating-effect</x:v>
      </x:c>
      <x:c r="E9" s="43" t="str">
        <x:v>Class 7</x:v>
      </x:c>
      <x:c r="F9" s="44" t="n">
        <x:v>7</x:v>
      </x:c>
      <x:c r="G9" s="44" t="str">
        <x:v>c7-current-effects</x:v>
      </x:c>
      <x:c r="H9" s="44"/>
      <x:c r="I9" s="43" t="str">
        <x:v>experiment</x:v>
      </x:c>
      <x:c r="J9" s="43" t="str">
        <x:v>Explain why wires and bulbs heat up. • Relate current to heating.</x:v>
      </x:c>
      <x:c r="K9" s="43" t="str">
        <x:v>Battery • Bulb • Switch • Wire</x:v>
      </x:c>
      <x:c r="L9" s="43" t="str">
        <x:v>Heating Effect of Current</x:v>
      </x:c>
      <x:c r="M9" s="43" t="str">
        <x:v>11</x:v>
      </x:c>
      <x:c r="N9" s="43" t="str">
        <x:v>heating-effect-current</x:v>
      </x:c>
      <x:c r="O9" s="43" t="str">
        <x:v>NCERT Science middle-stage physics topics</x:v>
      </x:c>
      <x:c r="P9" s="43" t="str">
        <x:v>Concrete, observation-led physics: heat, motion, current effects, and light.</x:v>
      </x:c>
    </x:row>
    <x:row r="10">
      <x:c r="A10" s="43" t="str">
        <x:v>Magnetism</x:v>
      </x:c>
      <x:c r="B10" s="43" t="str">
        <x:v>Electric Current and Its Effects</x:v>
      </x:c>
      <x:c r="C10" s="43" t="str">
        <x:v>Magnetic Effect and Electromagnet</x:v>
      </x:c>
      <x:c r="D10" s="43" t="str">
        <x:v>c7-magnetic-effect</x:v>
      </x:c>
      <x:c r="E10" s="43" t="str">
        <x:v>Class 7</x:v>
      </x:c>
      <x:c r="F10" s="44" t="n">
        <x:v>7</x:v>
      </x:c>
      <x:c r="G10" s="44" t="str">
        <x:v>c7-current-effects</x:v>
      </x:c>
      <x:c r="H10" s="44"/>
      <x:c r="I10" s="43" t="str">
        <x:v>experiment</x:v>
      </x:c>
      <x:c r="J10" s="43" t="str">
        <x:v>Show current can produce magnetism. • Build a simple electromagnet model.</x:v>
      </x:c>
      <x:c r="K10" s="43" t="str">
        <x:v>Battery • Coil • Compass • Iron core</x:v>
      </x:c>
      <x:c r="L10" s="43" t="str">
        <x:v>Electromagnet</x:v>
      </x:c>
      <x:c r="M10" s="43" t="str">
        <x:v>26</x:v>
      </x:c>
      <x:c r="N10" s="43" t="str">
        <x:v>electromagnet</x:v>
      </x:c>
      <x:c r="O10" s="43" t="str">
        <x:v>NCERT Science middle-stage physics topics</x:v>
      </x:c>
      <x:c r="P10" s="43" t="str">
        <x:v>Concrete, observation-led physics: heat, motion, current effects, and light.</x:v>
      </x:c>
    </x:row>
    <x:row r="11">
      <x:c r="A11" s="43" t="str">
        <x:v>Thermodynamics</x:v>
      </x:c>
      <x:c r="B11" s="43" t="str">
        <x:v>Heat</x:v>
      </x:c>
      <x:c r="C11" s="43" t="str">
        <x:v>Heat and Temperature</x:v>
      </x:c>
      <x:c r="D11" s="43" t="str">
        <x:v>c7-heat-temperature</x:v>
      </x:c>
      <x:c r="E11" s="43" t="str">
        <x:v>Class 7</x:v>
      </x:c>
      <x:c r="F11" s="44" t="n">
        <x:v>7</x:v>
      </x:c>
      <x:c r="G11" s="44" t="str">
        <x:v>c7-heat</x:v>
      </x:c>
      <x:c r="H11" s="44"/>
      <x:c r="I11" s="43" t="str">
        <x:v>experiment</x:v>
      </x:c>
      <x:c r="J11" s="43" t="str">
        <x:v>Distinguish heat from temperature. • Read thermometers and compare hot/cold bodies.</x:v>
      </x:c>
      <x:c r="K11" s="43" t="str">
        <x:v>Thermometer • Temperature slider • Particle view</x:v>
      </x:c>
      <x:c r="L11" s="43" t="str">
        <x:v>Heat and Temperature</x:v>
      </x:c>
      <x:c r="M11" s="43" t="str">
        <x:v>67</x:v>
      </x:c>
      <x:c r="N11" s="43" t="str">
        <x:v>heat-and-temperature</x:v>
      </x:c>
      <x:c r="O11" s="43" t="str">
        <x:v>NCERT Science middle-stage physics topics</x:v>
      </x:c>
      <x:c r="P11" s="43" t="str">
        <x:v>Concrete, observation-led physics: heat, motion, current effects, and light.</x:v>
      </x:c>
    </x:row>
    <x:row r="12">
      <x:c r="A12" s="43" t="str">
        <x:v>Thermodynamics</x:v>
      </x:c>
      <x:c r="B12" s="43" t="str">
        <x:v>Heat</x:v>
      </x:c>
      <x:c r="C12" s="43" t="str">
        <x:v>Transfer of Heat</x:v>
      </x:c>
      <x:c r="D12" s="43" t="str">
        <x:v>c7-heat-transfer</x:v>
      </x:c>
      <x:c r="E12" s="43" t="str">
        <x:v>Class 7</x:v>
      </x:c>
      <x:c r="F12" s="44" t="n">
        <x:v>7</x:v>
      </x:c>
      <x:c r="G12" s="44" t="str">
        <x:v>c7-heat</x:v>
      </x:c>
      <x:c r="H12" s="44"/>
      <x:c r="I12" s="43" t="str">
        <x:v>experiment</x:v>
      </x:c>
      <x:c r="J12" s="43" t="str">
        <x:v>Compare conduction, convection, and radiation. • Predict heat flow direction.</x:v>
      </x:c>
      <x:c r="K12" s="43" t="str">
        <x:v>Conduction bar • Convection cell • Radiation lamp</x:v>
      </x:c>
      <x:c r="L12" s="43" t="str">
        <x:v>Heat Transfer</x:v>
      </x:c>
      <x:c r="M12" s="43" t="str">
        <x:v>68</x:v>
      </x:c>
      <x:c r="N12" s="43" t="str">
        <x:v>heat-transfer</x:v>
      </x:c>
      <x:c r="O12" s="43" t="str">
        <x:v>NCERT Science middle-stage physics topics</x:v>
      </x:c>
      <x:c r="P12" s="43" t="str">
        <x:v>Concrete, observation-led physics: heat, motion, current effects, and light.</x:v>
      </x:c>
    </x:row>
    <x:row r="13">
      <x:c r="A13" s="43" t="str">
        <x:v>Optics</x:v>
      </x:c>
      <x:c r="B13" s="43" t="str">
        <x:v>Light</x:v>
      </x:c>
      <x:c r="C13" s="43" t="str">
        <x:v>Images by Lenses</x:v>
      </x:c>
      <x:c r="D13" s="43" t="str">
        <x:v>c7-lenses</x:v>
      </x:c>
      <x:c r="E13" s="43" t="str">
        <x:v>Class 7</x:v>
      </x:c>
      <x:c r="F13" s="44" t="n">
        <x:v>7</x:v>
      </x:c>
      <x:c r="G13" s="44" t="str">
        <x:v>c7-light</x:v>
      </x:c>
      <x:c r="H13" s="44"/>
      <x:c r="I13" s="43" t="str">
        <x:v>experiment</x:v>
      </x:c>
      <x:c r="J13" s="43" t="str">
        <x:v>Observe how lenses bend light. • Describe image size and orientation.</x:v>
      </x:c>
      <x:c r="K13" s="43" t="str">
        <x:v>Light ray • Convex lens</x:v>
      </x:c>
      <x:c r="L13" s="43" t="str">
        <x:v>Lens Formula</x:v>
      </x:c>
      <x:c r="M13" s="43" t="str">
        <x:v>56</x:v>
      </x:c>
      <x:c r="N13" s="43" t="str">
        <x:v>lens-formula</x:v>
      </x:c>
      <x:c r="O13" s="43" t="str">
        <x:v>NCERT Science middle-stage physics topics</x:v>
      </x:c>
      <x:c r="P13" s="43" t="str">
        <x:v>Concrete, observation-led physics: heat, motion, current effects, and light.</x:v>
      </x:c>
    </x:row>
    <x:row r="14">
      <x:c r="A14" s="43" t="str">
        <x:v>Optics</x:v>
      </x:c>
      <x:c r="B14" s="43" t="str">
        <x:v>Light</x:v>
      </x:c>
      <x:c r="C14" s="43" t="str">
        <x:v>Reflection by Mirrors</x:v>
      </x:c>
      <x:c r="D14" s="43" t="str">
        <x:v>c7-reflection</x:v>
      </x:c>
      <x:c r="E14" s="43" t="str">
        <x:v>Class 7</x:v>
      </x:c>
      <x:c r="F14" s="44" t="n">
        <x:v>7</x:v>
      </x:c>
      <x:c r="G14" s="44" t="str">
        <x:v>c7-light</x:v>
      </x:c>
      <x:c r="H14" s="44"/>
      <x:c r="I14" s="43" t="str">
        <x:v>experiment</x:v>
      </x:c>
      <x:c r="J14" s="43" t="str">
        <x:v>Trace incident and reflected rays. • Compare images in plane and spherical mirrors. • Explain straight-line travel of light with shadows.</x:v>
      </x:c>
      <x:c r="K14" s="43" t="str">
        <x:v>Light ray • Plane mirror • Concave mirror • Shadow screen</x:v>
      </x:c>
      <x:c r="L14" s="43" t="str">
        <x:v>Reflection by Plane Mirror • Shadows and Eclipses</x:v>
      </x:c>
      <x:c r="M14" s="43" t="str">
        <x:v>61 • 62</x:v>
      </x:c>
      <x:c r="N14" s="43" t="str">
        <x:v>reflection-plane-mirror • shadows-eclipses</x:v>
      </x:c>
      <x:c r="O14" s="43" t="str">
        <x:v>NCERT Science middle-stage physics topics</x:v>
      </x:c>
      <x:c r="P14" s="43" t="str">
        <x:v>Concrete, observation-led physics: heat, motion, current effects, and light.</x:v>
      </x:c>
    </x:row>
    <x:row r="15">
      <x:c r="A15" s="43" t="str">
        <x:v>Mechanics</x:v>
      </x:c>
      <x:c r="B15" s="43" t="str">
        <x:v>Motion and Time</x:v>
      </x:c>
      <x:c r="C15" s="43" t="str">
        <x:v>Distance-Time Graphs</x:v>
      </x:c>
      <x:c r="D15" s="43" t="str">
        <x:v>c7-distance-time</x:v>
      </x:c>
      <x:c r="E15" s="43" t="str">
        <x:v>Class 7</x:v>
      </x:c>
      <x:c r="F15" s="44" t="n">
        <x:v>7</x:v>
      </x:c>
      <x:c r="G15" s="44" t="str">
        <x:v>c7-motion-time</x:v>
      </x:c>
      <x:c r="H15" s="44"/>
      <x:c r="I15" s="43" t="str">
        <x:v>experiment</x:v>
      </x:c>
      <x:c r="J15" s="43" t="str">
        <x:v>Interpret a distance-time graph. • Relate slope to speed.</x:v>
      </x:c>
      <x:c r="K15" s="43" t="str">
        <x:v>Graph plotter • Motion sensor</x:v>
      </x:c>
      <x:c r="L15" s="43" t="str">
        <x:v>Uniform Motion</x:v>
      </x:c>
      <x:c r="M15" s="43" t="str">
        <x:v>45</x:v>
      </x:c>
      <x:c r="N15" s="43" t="str">
        <x:v>uniform-motion</x:v>
      </x:c>
      <x:c r="O15" s="43" t="str">
        <x:v>NCERT Science middle-stage physics topics</x:v>
      </x:c>
      <x:c r="P15" s="43" t="str">
        <x:v>Concrete, observation-led physics: heat, motion, current effects, and light.</x:v>
      </x:c>
    </x:row>
    <x:row r="16">
      <x:c r="A16" s="43" t="str">
        <x:v>Mechanics</x:v>
      </x:c>
      <x:c r="B16" s="43" t="str">
        <x:v>Motion and Time</x:v>
      </x:c>
      <x:c r="C16" s="43" t="str">
        <x:v>Speed, Distance, and Time</x:v>
      </x:c>
      <x:c r="D16" s="43" t="str">
        <x:v>c7-speed</x:v>
      </x:c>
      <x:c r="E16" s="43" t="str">
        <x:v>Class 7</x:v>
      </x:c>
      <x:c r="F16" s="44" t="n">
        <x:v>7</x:v>
      </x:c>
      <x:c r="G16" s="44" t="str">
        <x:v>c7-motion-time</x:v>
      </x:c>
      <x:c r="H16" s="44"/>
      <x:c r="I16" s="43" t="str">
        <x:v>experiment</x:v>
      </x:c>
      <x:c r="J16" s="43" t="str">
        <x:v>Calculate speed from distance and time. • Compare uniform and non-uniform motion.</x:v>
      </x:c>
      <x:c r="K16" s="43" t="str">
        <x:v>Stopwatch • Ruler • Motion graph</x:v>
      </x:c>
      <x:c r="L16" s="43" t="str">
        <x:v>Uniform Motion</x:v>
      </x:c>
      <x:c r="M16" s="43" t="str">
        <x:v>45</x:v>
      </x:c>
      <x:c r="N16" s="43" t="str">
        <x:v>uniform-motion</x:v>
      </x:c>
      <x:c r="O16" s="43" t="str">
        <x:v>NCERT Science middle-stage physics topics</x:v>
      </x:c>
      <x:c r="P16" s="43" t="str">
        <x:v>Concrete, observation-led physics: heat, motion, current effects, and light.</x:v>
      </x:c>
    </x:row>
    <x:row r="17">
      <x:c r="A17" s="43" t="str">
        <x:v>Electricity</x:v>
      </x:c>
      <x:c r="B17" s="43" t="str">
        <x:v>Electricity and Natural Phenomena</x:v>
      </x:c>
      <x:c r="C17" s="43" t="str">
        <x:v>Chemical Effects of Current</x:v>
      </x:c>
      <x:c r="D17" s="43" t="str">
        <x:v>c8-chemical-current</x:v>
      </x:c>
      <x:c r="E17" s="43" t="str">
        <x:v>Class 8</x:v>
      </x:c>
      <x:c r="F17" s="44" t="n">
        <x:v>8</x:v>
      </x:c>
      <x:c r="G17" s="44" t="str">
        <x:v>c8-electric-natural</x:v>
      </x:c>
      <x:c r="H17" s="44"/>
      <x:c r="I17" s="43" t="str">
        <x:v>experiment</x:v>
      </x:c>
      <x:c r="J17" s="43" t="str">
        <x:v>Classify conducting liquids. • Model electroplating and electrolysis.</x:v>
      </x:c>
      <x:c r="K17" s="43" t="str">
        <x:v>Battery • Electrodes • Solution beaker</x:v>
      </x:c>
      <x:c r="L17" s="43" t="str">
        <x:v>Chemical Effects of Current</x:v>
      </x:c>
      <x:c r="M17" s="43" t="str">
        <x:v>7</x:v>
      </x:c>
      <x:c r="N17" s="43" t="str">
        <x:v>chemical-effects-current</x:v>
      </x:c>
      <x:c r="O17" s="43" t="str">
        <x:v>NCERT Science middle-stage physics topics</x:v>
      </x:c>
      <x:c r="P17" s="43" t="str">
        <x:v>Hands-on foundations for force, pressure, friction, sound, electricity, natural phenomena, and light.</x:v>
      </x:c>
    </x:row>
    <x:row r="18">
      <x:c r="A18" s="43" t="str">
        <x:v>Electricity</x:v>
      </x:c>
      <x:c r="B18" s="43" t="str">
        <x:v>Electricity and Natural Phenomena</x:v>
      </x:c>
      <x:c r="C18" s="43" t="str">
        <x:v>Static Electricity and Lightning</x:v>
      </x:c>
      <x:c r="D18" s="43" t="str">
        <x:v>c8-static-lightning</x:v>
      </x:c>
      <x:c r="E18" s="43" t="str">
        <x:v>Class 8</x:v>
      </x:c>
      <x:c r="F18" s="44" t="n">
        <x:v>8</x:v>
      </x:c>
      <x:c r="G18" s="44" t="str">
        <x:v>c8-electric-natural</x:v>
      </x:c>
      <x:c r="H18" s="44"/>
      <x:c r="I18" s="43" t="str">
        <x:v>experiment</x:v>
      </x:c>
      <x:c r="J18" s="43" t="str">
        <x:v>Explain charging by rubbing and transfer. • Connect earthing to safety.</x:v>
      </x:c>
      <x:c r="K18" s="43" t="str">
        <x:v>Charge • Electric field region</x:v>
      </x:c>
      <x:c r="L18" s="43" t="str">
        <x:v>Static Electricity and Lightning</x:v>
      </x:c>
      <x:c r="M18" s="43" t="str">
        <x:v>16</x:v>
      </x:c>
      <x:c r="N18" s="43" t="str">
        <x:v>static-electricity</x:v>
      </x:c>
      <x:c r="O18" s="43" t="str">
        <x:v>NCERT Science middle-stage physics topics</x:v>
      </x:c>
      <x:c r="P18" s="43" t="str">
        <x:v>Hands-on foundations for force, pressure, friction, sound, electricity, natural phenomena, and light.</x:v>
      </x:c>
    </x:row>
    <x:row r="19">
      <x:c r="A19" s="43" t="str">
        <x:v>Mechanics</x:v>
      </x:c>
      <x:c r="B19" s="43" t="str">
        <x:v>Force and Pressure</x:v>
      </x:c>
      <x:c r="C19" s="43" t="str">
        <x:v>Effects of Force</x:v>
      </x:c>
      <x:c r="D19" s="43" t="str">
        <x:v>c8-force-effects</x:v>
      </x:c>
      <x:c r="E19" s="43" t="str">
        <x:v>Class 8</x:v>
      </x:c>
      <x:c r="F19" s="44" t="n">
        <x:v>8</x:v>
      </x:c>
      <x:c r="G19" s="44" t="str">
        <x:v>c8-force-pressure</x:v>
      </x:c>
      <x:c r="H19" s="44"/>
      <x:c r="I19" s="43" t="str">
        <x:v>experiment</x:v>
      </x:c>
      <x:c r="J19" s="43" t="str">
        <x:v>Identify push/pull interactions. • Predict changes in speed, direction, and shape.</x:v>
      </x:c>
      <x:c r="K19" s="43" t="str">
        <x:v>Force arrow • Block • Motion sensor</x:v>
      </x:c>
      <x:c r="L19" s="43" t="str">
        <x:v>Newton's Second Law • Force and Pressure</x:v>
      </x:c>
      <x:c r="M19" s="43" t="str">
        <x:v>41 • 25</x:v>
      </x:c>
      <x:c r="N19" s="43" t="str">
        <x:v>newton-s-second-law • force-and-pressure</x:v>
      </x:c>
      <x:c r="O19" s="43" t="str">
        <x:v>NCERT Science middle-stage physics topics</x:v>
      </x:c>
      <x:c r="P19" s="43" t="str">
        <x:v>Hands-on foundations for force, pressure, friction, sound, electricity, natural phenomena, and light.</x:v>
      </x:c>
    </x:row>
    <x:row r="20">
      <x:c r="A20" s="43" t="str">
        <x:v>Fluid Mechanics</x:v>
      </x:c>
      <x:c r="B20" s="43" t="str">
        <x:v>Force and Pressure</x:v>
      </x:c>
      <x:c r="C20" s="43" t="str">
        <x:v>Pressure in Solids and Fluids</x:v>
      </x:c>
      <x:c r="D20" s="43" t="str">
        <x:v>c8-pressure</x:v>
      </x:c>
      <x:c r="E20" s="43" t="str">
        <x:v>Class 8</x:v>
      </x:c>
      <x:c r="F20" s="44" t="n">
        <x:v>8</x:v>
      </x:c>
      <x:c r="G20" s="44" t="str">
        <x:v>c8-force-pressure</x:v>
      </x:c>
      <x:c r="H20" s="44"/>
      <x:c r="I20" s="43" t="str">
        <x:v>experiment</x:v>
      </x:c>
      <x:c r="J20" s="43" t="str">
        <x:v>Relate pressure to force and area. • Compare pressure at different depths.</x:v>
      </x:c>
      <x:c r="K20" s="43" t="str">
        <x:v>Fluid region • Pressure gauge</x:v>
      </x:c>
      <x:c r="L20" s="43" t="str">
        <x:v>Force and Pressure • Fluid Pressure with Depth</x:v>
      </x:c>
      <x:c r="M20" s="43" t="str">
        <x:v>25 • 24</x:v>
      </x:c>
      <x:c r="N20" s="43" t="str">
        <x:v>force-and-pressure • fluid-pressure</x:v>
      </x:c>
      <x:c r="O20" s="43" t="str">
        <x:v>NCERT Science middle-stage physics topics</x:v>
      </x:c>
      <x:c r="P20" s="43" t="str">
        <x:v>Hands-on foundations for force, pressure, friction, sound, electricity, natural phenomena, and light.</x:v>
      </x:c>
    </x:row>
    <x:row r="21">
      <x:c r="A21" s="43" t="str">
        <x:v>Mechanics</x:v>
      </x:c>
      <x:c r="B21" s="43" t="str">
        <x:v>Friction, Sound, and Light</x:v>
      </x:c>
      <x:c r="C21" s="43" t="str">
        <x:v>Friction</x:v>
      </x:c>
      <x:c r="D21" s="43" t="str">
        <x:v>c8-friction</x:v>
      </x:c>
      <x:c r="E21" s="43" t="str">
        <x:v>Class 8</x:v>
      </x:c>
      <x:c r="F21" s="44" t="n">
        <x:v>8</x:v>
      </x:c>
      <x:c r="G21" s="44" t="str">
        <x:v>c8-friction-sound-light</x:v>
      </x:c>
      <x:c r="H21" s="44"/>
      <x:c r="I21" s="43" t="str">
        <x:v>experiment</x:v>
      </x:c>
      <x:c r="J21" s="43" t="str">
        <x:v>Compare static, sliding, and rolling friction. • Explain useful and harmful friction.</x:v>
      </x:c>
      <x:c r="K21" s="43" t="str">
        <x:v>Block • Ramp • Surface control</x:v>
      </x:c>
      <x:c r="L21" s="43" t="str">
        <x:v>Friction • Inclined Plane</x:v>
      </x:c>
      <x:c r="M21" s="43" t="str">
        <x:v>37 • 39</x:v>
      </x:c>
      <x:c r="N21" s="43" t="str">
        <x:v>friction • inclined-plane</x:v>
      </x:c>
      <x:c r="O21" s="43" t="str">
        <x:v>NCERT Science middle-stage physics topics</x:v>
      </x:c>
      <x:c r="P21" s="43" t="str">
        <x:v>Hands-on foundations for force, pressure, friction, sound, electricity, natural phenomena, and light.</x:v>
      </x:c>
    </x:row>
    <x:row r="22">
      <x:c r="A22" s="43" t="str">
        <x:v>Optics</x:v>
      </x:c>
      <x:c r="B22" s="43" t="str">
        <x:v>Friction, Sound, and Light</x:v>
      </x:c>
      <x:c r="C22" s="43" t="str">
        <x:v>Light and Multiple Reflection</x:v>
      </x:c>
      <x:c r="D22" s="43" t="str">
        <x:v>c8-light</x:v>
      </x:c>
      <x:c r="E22" s="43" t="str">
        <x:v>Class 8</x:v>
      </x:c>
      <x:c r="F22" s="44" t="n">
        <x:v>8</x:v>
      </x:c>
      <x:c r="G22" s="44" t="str">
        <x:v>c8-friction-sound-light</x:v>
      </x:c>
      <x:c r="H22" s="44"/>
      <x:c r="I22" s="43" t="str">
        <x:v>experiment</x:v>
      </x:c>
      <x:c r="J22" s="43" t="str">
        <x:v>Trace reflection paths. • Explore mirrors, lenses, and dispersion. • Predict images from two plane mirrors.</x:v>
      </x:c>
      <x:c r="K22" s="43" t="str">
        <x:v>Light ray • Mirrors • Prism • Kaleidoscope</x:v>
      </x:c>
      <x:c r="L22" s="43" t="str">
        <x:v>Reflection by Plane Mirror • Multiple Reflection and Kaleidoscope • Prism Dispersion</x:v>
      </x:c>
      <x:c r="M22" s="43" t="str">
        <x:v>61 • 59 • 60</x:v>
      </x:c>
      <x:c r="N22" s="43" t="str">
        <x:v>reflection-plane-mirror • multiple-reflection • prism-dispersion</x:v>
      </x:c>
      <x:c r="O22" s="43" t="str">
        <x:v>NCERT Science middle-stage physics topics</x:v>
      </x:c>
      <x:c r="P22" s="43" t="str">
        <x:v>Hands-on foundations for force, pressure, friction, sound, electricity, natural phenomena, and light.</x:v>
      </x:c>
    </x:row>
    <x:row r="23">
      <x:c r="A23" s="43" t="str">
        <x:v>Waves</x:v>
      </x:c>
      <x:c r="B23" s="43" t="str">
        <x:v>Friction, Sound, and Light</x:v>
      </x:c>
      <x:c r="C23" s="43" t="str">
        <x:v>Sound</x:v>
      </x:c>
      <x:c r="D23" s="43" t="str">
        <x:v>c8-sound</x:v>
      </x:c>
      <x:c r="E23" s="43" t="str">
        <x:v>Class 8</x:v>
      </x:c>
      <x:c r="F23" s="44" t="n">
        <x:v>8</x:v>
      </x:c>
      <x:c r="G23" s="44" t="str">
        <x:v>c8-friction-sound-light</x:v>
      </x:c>
      <x:c r="H23" s="44"/>
      <x:c r="I23" s="43" t="str">
        <x:v>experiment</x:v>
      </x:c>
      <x:c r="J23" s="43" t="str">
        <x:v>Connect vibration to sound. • Compare pitch, loudness, frequency, and amplitude.</x:v>
      </x:c>
      <x:c r="K23" s="43" t="str">
        <x:v>Wave source • Audio oscillator • Graph plotter</x:v>
      </x:c>
      <x:c r="L23" s="43" t="str">
        <x:v>Wave Lab • Chladni Plate</x:v>
      </x:c>
      <x:c r="M23" s="43" t="str">
        <x:v>79 • 71</x:v>
      </x:c>
      <x:c r="N23" s="43" t="str">
        <x:v>wave-lab • chladni-plate</x:v>
      </x:c>
      <x:c r="O23" s="43" t="str">
        <x:v>NCERT Science middle-stage physics topics</x:v>
      </x:c>
      <x:c r="P23" s="43" t="str">
        <x:v>Hands-on foundations for force, pressure, friction, sound, electricity, natural phenomena, and light.</x:v>
      </x:c>
    </x:row>
    <x:row r="24">
      <x:c r="A24" s="43" t="str">
        <x:v>Fluid Mechanics</x:v>
      </x:c>
      <x:c r="B24" s="43" t="str">
        <x:v>Motion, Force, and Work</x:v>
      </x:c>
      <x:c r="C24" s="43" t="str">
        <x:v>Floatation and Buoyancy</x:v>
      </x:c>
      <x:c r="D24" s="43" t="str">
        <x:v>c9-floatation</x:v>
      </x:c>
      <x:c r="E24" s="43" t="str">
        <x:v>Class 9</x:v>
      </x:c>
      <x:c r="F24" s="44" t="n">
        <x:v>9</x:v>
      </x:c>
      <x:c r="G24" s="44" t="str">
        <x:v>c9-motion-force-work</x:v>
      </x:c>
      <x:c r="H24" s="44" t="n">
        <x:v>27</x:v>
      </x:c>
      <x:c r="I24" s="43" t="str">
        <x:v>experiment</x:v>
      </x:c>
      <x:c r="J24" s="43" t="str">
        <x:v>Apply Archimedes' principle. • Relate density to floating and sinking.</x:v>
      </x:c>
      <x:c r="K24" s="43" t="str">
        <x:v>Fluid region • Blocks • Spring balance</x:v>
      </x:c>
      <x:c r="L24" s="43" t="str">
        <x:v>Buoyancy</x:v>
      </x:c>
      <x:c r="M24" s="43" t="str">
        <x:v>22</x:v>
      </x:c>
      <x:c r="N24" s="43" t="str">
        <x:v>buoyancy</x:v>
      </x:c>
      <x:c r="O24" s="43" t="str">
        <x:v>CBSE Science 086 / Standard Science 2026-27</x:v>
      </x:c>
      <x:c r="P24" s="43" t="str">
        <x:v>Graph-rich mechanics, gravitation, work-energy, and sound for secondary science.</x:v>
      </x:c>
    </x:row>
    <x:row r="25">
      <x:c r="A25" s="43" t="str">
        <x:v>Mechanics</x:v>
      </x:c>
      <x:c r="B25" s="43" t="str">
        <x:v>Motion, Force, and Work</x:v>
      </x:c>
      <x:c r="C25" s="43" t="str">
        <x:v>Force and Newton's Laws</x:v>
      </x:c>
      <x:c r="D25" s="43" t="str">
        <x:v>c9-newton-laws</x:v>
      </x:c>
      <x:c r="E25" s="43" t="str">
        <x:v>Class 9</x:v>
      </x:c>
      <x:c r="F25" s="44" t="n">
        <x:v>9</x:v>
      </x:c>
      <x:c r="G25" s="44" t="str">
        <x:v>c9-motion-force-work</x:v>
      </x:c>
      <x:c r="H25" s="44" t="n">
        <x:v>27</x:v>
      </x:c>
      <x:c r="I25" s="43" t="str">
        <x:v>experiment</x:v>
      </x:c>
      <x:c r="J25" s="43" t="str">
        <x:v>Explain inertia and momentum. • Apply F = ma to everyday situations.</x:v>
      </x:c>
      <x:c r="K25" s="43" t="str">
        <x:v>Cart • Force sensor • Force arrow</x:v>
      </x:c>
      <x:c r="L25" s="43" t="str">
        <x:v>Newton's Second Law • Elastic Collision</x:v>
      </x:c>
      <x:c r="M25" s="43" t="str">
        <x:v>41 • 35</x:v>
      </x:c>
      <x:c r="N25" s="43" t="str">
        <x:v>newton-s-second-law • elastic-collision</x:v>
      </x:c>
      <x:c r="O25" s="43" t="str">
        <x:v>CBSE Science 086 / Standard Science 2026-27</x:v>
      </x:c>
      <x:c r="P25" s="43" t="str">
        <x:v>Graph-rich mechanics, gravitation, work-energy, and sound for secondary science.</x:v>
      </x:c>
    </x:row>
    <x:row r="26">
      <x:c r="A26" s="43" t="str">
        <x:v>Mechanics</x:v>
      </x:c>
      <x:c r="B26" s="43" t="str">
        <x:v>Motion, Force, and Work</x:v>
      </x:c>
      <x:c r="C26" s="43" t="str">
        <x:v>Gravitation and Free Fall</x:v>
      </x:c>
      <x:c r="D26" s="43" t="str">
        <x:v>c9-gravitation</x:v>
      </x:c>
      <x:c r="E26" s="43" t="str">
        <x:v>Class 9</x:v>
      </x:c>
      <x:c r="F26" s="44" t="n">
        <x:v>9</x:v>
      </x:c>
      <x:c r="G26" s="44" t="str">
        <x:v>c9-motion-force-work</x:v>
      </x:c>
      <x:c r="H26" s="44" t="n">
        <x:v>27</x:v>
      </x:c>
      <x:c r="I26" s="43" t="str">
        <x:v>experiment</x:v>
      </x:c>
      <x:c r="J26" s="43" t="str">
        <x:v>Compare mass and weight. • Model free fall under gravity.</x:v>
      </x:c>
      <x:c r="K26" s="43" t="str">
        <x:v>Ball • Gravity control • Stopwatch</x:v>
      </x:c>
      <x:c r="L26" s="43" t="str">
        <x:v>Free Fall • Mass and Weight</x:v>
      </x:c>
      <x:c r="M26" s="43" t="str">
        <x:v>36 • 40</x:v>
      </x:c>
      <x:c r="N26" s="43" t="str">
        <x:v>free-fall • mass-and-weight</x:v>
      </x:c>
      <x:c r="O26" s="43" t="str">
        <x:v>CBSE Science 086 / Standard Science 2026-27</x:v>
      </x:c>
      <x:c r="P26" s="43" t="str">
        <x:v>Graph-rich mechanics, gravitation, work-energy, and sound for secondary science.</x:v>
      </x:c>
    </x:row>
    <x:row r="27">
      <x:c r="A27" s="43" t="str">
        <x:v>Mechanics</x:v>
      </x:c>
      <x:c r="B27" s="43" t="str">
        <x:v>Motion, Force, and Work</x:v>
      </x:c>
      <x:c r="C27" s="43" t="str">
        <x:v>Motion in One Dimension</x:v>
      </x:c>
      <x:c r="D27" s="43" t="str">
        <x:v>c9-motion</x:v>
      </x:c>
      <x:c r="E27" s="43" t="str">
        <x:v>Class 9</x:v>
      </x:c>
      <x:c r="F27" s="44" t="n">
        <x:v>9</x:v>
      </x:c>
      <x:c r="G27" s="44" t="str">
        <x:v>c9-motion-force-work</x:v>
      </x:c>
      <x:c r="H27" s="44" t="n">
        <x:v>27</x:v>
      </x:c>
      <x:c r="I27" s="43" t="str">
        <x:v>experiment</x:v>
      </x:c>
      <x:c r="J27" s="43" t="str">
        <x:v>Analyse displacement, velocity, and acceleration. • Use distance-time and velocity-time graphs.</x:v>
      </x:c>
      <x:c r="K27" s="43" t="str">
        <x:v>Motion sensor • Graph plotter</x:v>
      </x:c>
      <x:c r="L27" s="43" t="str">
        <x:v>Uniform Motion</x:v>
      </x:c>
      <x:c r="M27" s="43" t="str">
        <x:v>45</x:v>
      </x:c>
      <x:c r="N27" s="43" t="str">
        <x:v>uniform-motion</x:v>
      </x:c>
      <x:c r="O27" s="43" t="str">
        <x:v>CBSE Science 086 / Standard Science 2026-27</x:v>
      </x:c>
      <x:c r="P27" s="43" t="str">
        <x:v>Graph-rich mechanics, gravitation, work-energy, and sound for secondary science.</x:v>
      </x:c>
    </x:row>
    <x:row r="28">
      <x:c r="A28" s="43" t="str">
        <x:v>Oscillations</x:v>
      </x:c>
      <x:c r="B28" s="43" t="str">
        <x:v>Motion, Force, and Work</x:v>
      </x:c>
      <x:c r="C28" s="43" t="str">
        <x:v>Pendulum and Periodic Motion</x:v>
      </x:c>
      <x:c r="D28" s="43" t="str">
        <x:v>c9-pendulum-intro</x:v>
      </x:c>
      <x:c r="E28" s="43" t="str">
        <x:v>Class 9</x:v>
      </x:c>
      <x:c r="F28" s="44" t="n">
        <x:v>9</x:v>
      </x:c>
      <x:c r="G28" s="44" t="str">
        <x:v>c9-motion-force-work</x:v>
      </x:c>
      <x:c r="H28" s="44" t="n">
        <x:v>27</x:v>
      </x:c>
      <x:c r="I28" s="43" t="str">
        <x:v>experiment</x:v>
      </x:c>
      <x:c r="J28" s="43" t="str">
        <x:v>Observe how period depends on length, not mass. • Connect periodic motion to time-keeping.</x:v>
      </x:c>
      <x:c r="K28" s="43" t="str">
        <x:v>Pendulum • Stopwatch</x:v>
      </x:c>
      <x:c r="L28" s="43" t="str">
        <x:v>Simple Pendulum</x:v>
      </x:c>
      <x:c r="M28" s="43" t="str">
        <x:v>44</x:v>
      </x:c>
      <x:c r="N28" s="43" t="str">
        <x:v>simple-pendulum</x:v>
      </x:c>
      <x:c r="O28" s="43" t="str">
        <x:v>CBSE Science 086 / Standard Science 2026-27</x:v>
      </x:c>
      <x:c r="P28" s="43" t="str">
        <x:v>Graph-rich mechanics, gravitation, work-energy, and sound for secondary science.</x:v>
      </x:c>
    </x:row>
    <x:row r="29">
      <x:c r="A29" s="43" t="str">
        <x:v>Waves</x:v>
      </x:c>
      <x:c r="B29" s="43" t="str">
        <x:v>Motion, Force, and Work</x:v>
      </x:c>
      <x:c r="C29" s="43" t="str">
        <x:v>Sound</x:v>
      </x:c>
      <x:c r="D29" s="43" t="str">
        <x:v>c9-sound</x:v>
      </x:c>
      <x:c r="E29" s="43" t="str">
        <x:v>Class 9</x:v>
      </x:c>
      <x:c r="F29" s="44" t="n">
        <x:v>9</x:v>
      </x:c>
      <x:c r="G29" s="44" t="str">
        <x:v>c9-motion-force-work</x:v>
      </x:c>
      <x:c r="H29" s="44" t="n">
        <x:v>27</x:v>
      </x:c>
      <x:c r="I29" s="43" t="str">
        <x:v>experiment</x:v>
      </x:c>
      <x:c r="J29" s="43" t="str">
        <x:v>Visualize longitudinal waves. • Explain echo, ultrasound, and speed of sound.</x:v>
      </x:c>
      <x:c r="K29" s="43" t="str">
        <x:v>Wave source • Slinky • Audio analyzer</x:v>
      </x:c>
      <x:c r="L29" s="43" t="str">
        <x:v>Wave Lab • Longitudinal Sound Wave • Sound Pitch and Loudness • Echo and Speed of Sound</x:v>
      </x:c>
      <x:c r="M29" s="43" t="str">
        <x:v>79 • 74 • 77 • 72</x:v>
      </x:c>
      <x:c r="N29" s="43" t="str">
        <x:v>wave-lab • sound-wave-anatomy • sound-pitch-loudness • echo-speed-sound</x:v>
      </x:c>
      <x:c r="O29" s="43" t="str">
        <x:v>CBSE Science 086 / Standard Science 2026-27</x:v>
      </x:c>
      <x:c r="P29" s="43" t="str">
        <x:v>Graph-rich mechanics, gravitation, work-energy, and sound for secondary science.</x:v>
      </x:c>
    </x:row>
    <x:row r="30">
      <x:c r="A30" s="43" t="str">
        <x:v>Mechanics</x:v>
      </x:c>
      <x:c r="B30" s="43" t="str">
        <x:v>Motion, Force, and Work</x:v>
      </x:c>
      <x:c r="C30" s="43" t="str">
        <x:v>Work, Energy, and Power</x:v>
      </x:c>
      <x:c r="D30" s="43" t="str">
        <x:v>c9-work-energy</x:v>
      </x:c>
      <x:c r="E30" s="43" t="str">
        <x:v>Class 9</x:v>
      </x:c>
      <x:c r="F30" s="44" t="n">
        <x:v>9</x:v>
      </x:c>
      <x:c r="G30" s="44" t="str">
        <x:v>c9-motion-force-work</x:v>
      </x:c>
      <x:c r="H30" s="44" t="n">
        <x:v>27</x:v>
      </x:c>
      <x:c r="I30" s="43" t="str">
        <x:v>experiment</x:v>
      </x:c>
      <x:c r="J30" s="43" t="str">
        <x:v>Calculate work, kinetic energy, potential energy, and power. • Explain conservation of energy.</x:v>
      </x:c>
      <x:c r="K30" s="43" t="str">
        <x:v>Ramp • Graph plotter • Energy readout</x:v>
      </x:c>
      <x:c r="L30" s="43" t="str">
        <x:v>Conservation of Energy • Inclined Plane • Work and Power</x:v>
      </x:c>
      <x:c r="M30" s="43" t="str">
        <x:v>33 • 39 • 47</x:v>
      </x:c>
      <x:c r="N30" s="43" t="str">
        <x:v>conservation-of-energy • inclined-plane • work-power</x:v>
      </x:c>
      <x:c r="O30" s="43" t="str">
        <x:v>CBSE Science 086 / Standard Science 2026-27</x:v>
      </x:c>
      <x:c r="P30" s="43" t="str">
        <x:v>Graph-rich mechanics, gravitation, work-energy, and sound for secondary science.</x:v>
      </x:c>
    </x:row>
    <x:row r="31">
      <x:c r="A31" s="43" t="str">
        <x:v>Electricity</x:v>
      </x:c>
      <x:c r="B31" s="43" t="str">
        <x:v>Effects of Current</x:v>
      </x:c>
      <x:c r="C31" s="43" t="str">
        <x:v>Heating Effect and Electric Power</x:v>
      </x:c>
      <x:c r="D31" s="43" t="str">
        <x:v>c10-electric-power</x:v>
      </x:c>
      <x:c r="E31" s="43" t="str">
        <x:v>Class 10</x:v>
      </x:c>
      <x:c r="F31" s="44" t="n">
        <x:v>10</x:v>
      </x:c>
      <x:c r="G31" s="44" t="str">
        <x:v>c10-effects-current</x:v>
      </x:c>
      <x:c r="H31" s="44" t="n">
        <x:v>13</x:v>
      </x:c>
      <x:c r="I31" s="43" t="str">
        <x:v>experiment</x:v>
      </x:c>
      <x:c r="J31" s="43" t="str">
        <x:v>Use P = VI and H = I^2Rt. • Connect power rating to daily appliances.</x:v>
      </x:c>
      <x:c r="K31" s="43" t="str">
        <x:v>Bulb • Power meter • Circuit solver</x:v>
      </x:c>
      <x:c r="L31" s="43" t="str">
        <x:v>Heating Effect of Current • Electric Power and Energy</x:v>
      </x:c>
      <x:c r="M31" s="43" t="str">
        <x:v>11 • 8</x:v>
      </x:c>
      <x:c r="N31" s="43" t="str">
        <x:v>heating-effect-current • electric-power</x:v>
      </x:c>
      <x:c r="O31" s="43" t="str">
        <x:v>CBSE Science 086 2026-27</x:v>
      </x:c>
      <x:c r="P31" s="43" t="str">
        <x:v>Board-practical physics: optics, electricity, magnetic effects, and applications.</x:v>
      </x:c>
    </x:row>
    <x:row r="32">
      <x:c r="A32" s="43" t="str">
        <x:v>Magnetism</x:v>
      </x:c>
      <x:c r="B32" s="43" t="str">
        <x:v>Effects of Current</x:v>
      </x:c>
      <x:c r="C32" s="43" t="str">
        <x:v>Magnetic Effects of Current</x:v>
      </x:c>
      <x:c r="D32" s="43" t="str">
        <x:v>c10-magnetism</x:v>
      </x:c>
      <x:c r="E32" s="43" t="str">
        <x:v>Class 10</x:v>
      </x:c>
      <x:c r="F32" s="44" t="n">
        <x:v>10</x:v>
      </x:c>
      <x:c r="G32" s="44" t="str">
        <x:v>c10-effects-current</x:v>
      </x:c>
      <x:c r="H32" s="44" t="n">
        <x:v>13</x:v>
      </x:c>
      <x:c r="I32" s="43" t="str">
        <x:v>experiment</x:v>
      </x:c>
      <x:c r="J32" s="43" t="str">
        <x:v>Visualize field around wire, coil, and solenoid. • Apply Fleming's left-hand rule.</x:v>
      </x:c>
      <x:c r="K32" s="43" t="str">
        <x:v>Bar magnet • Coil • Field lines</x:v>
      </x:c>
      <x:c r="L32" s="43" t="str">
        <x:v>Magnetic Field Around Current • Electromagnet</x:v>
      </x:c>
      <x:c r="M32" s="43" t="str">
        <x:v>28 • 26</x:v>
      </x:c>
      <x:c r="N32" s="43" t="str">
        <x:v>magnetic-field-current • electromagnet</x:v>
      </x:c>
      <x:c r="O32" s="43" t="str">
        <x:v>CBSE Science 086 2026-27</x:v>
      </x:c>
      <x:c r="P32" s="43" t="str">
        <x:v>Board-practical physics: optics, electricity, magnetic effects, and applications.</x:v>
      </x:c>
    </x:row>
    <x:row r="33">
      <x:c r="A33" s="43" t="str">
        <x:v>Electricity</x:v>
      </x:c>
      <x:c r="B33" s="43" t="str">
        <x:v>Effects of Current</x:v>
      </x:c>
      <x:c r="C33" s="43" t="str">
        <x:v>Ohm's Law and V-I Graph</x:v>
      </x:c>
      <x:c r="D33" s="43" t="str">
        <x:v>c10-ohms-law</x:v>
      </x:c>
      <x:c r="E33" s="43" t="str">
        <x:v>Class 10</x:v>
      </x:c>
      <x:c r="F33" s="44" t="n">
        <x:v>10</x:v>
      </x:c>
      <x:c r="G33" s="44" t="str">
        <x:v>c10-effects-current</x:v>
      </x:c>
      <x:c r="H33" s="44" t="n">
        <x:v>13</x:v>
      </x:c>
      <x:c r="I33" s="43" t="str">
        <x:v>experiment</x:v>
      </x:c>
      <x:c r="J33" s="43" t="str">
        <x:v>Manipulate voltage, current, and resistance. • Plot V-I graph and determine resistance.</x:v>
      </x:c>
      <x:c r="K33" s="43" t="str">
        <x:v>Battery • Resistor • Ammeter • Voltmeter</x:v>
      </x:c>
      <x:c r="L33" s="43" t="str">
        <x:v>Ohm's Law V-I Graph</x:v>
      </x:c>
      <x:c r="M33" s="43" t="str">
        <x:v>14</x:v>
      </x:c>
      <x:c r="N33" s="43" t="str">
        <x:v>ohms-law</x:v>
      </x:c>
      <x:c r="O33" s="43" t="str">
        <x:v>CBSE Science 086 2026-27</x:v>
      </x:c>
      <x:c r="P33" s="43" t="str">
        <x:v>Board-practical physics: optics, electricity, magnetic effects, and applications.</x:v>
      </x:c>
    </x:row>
    <x:row r="34">
      <x:c r="A34" s="43" t="str">
        <x:v>Electricity</x:v>
      </x:c>
      <x:c r="B34" s="43" t="str">
        <x:v>Effects of Current</x:v>
      </x:c>
      <x:c r="C34" s="43" t="str">
        <x:v>Series and Parallel Resistance</x:v>
      </x:c>
      <x:c r="D34" s="43" t="str">
        <x:v>c10-series-parallel</x:v>
      </x:c>
      <x:c r="E34" s="43" t="str">
        <x:v>Class 10</x:v>
      </x:c>
      <x:c r="F34" s="44" t="n">
        <x:v>10</x:v>
      </x:c>
      <x:c r="G34" s="44" t="str">
        <x:v>c10-effects-current</x:v>
      </x:c>
      <x:c r="H34" s="44" t="n">
        <x:v>13</x:v>
      </x:c>
      <x:c r="I34" s="43" t="str">
        <x:v>experiment</x:v>
      </x:c>
      <x:c r="J34" s="43" t="str">
        <x:v>Build series and parallel circuits. • Calculate equivalent resistance.</x:v>
      </x:c>
      <x:c r="K34" s="43" t="str">
        <x:v>Battery • Resistors • Wire • Switch</x:v>
      </x:c>
      <x:c r="L34" s="43" t="str">
        <x:v>Series and Parallel Resistance</x:v>
      </x:c>
      <x:c r="M34" s="43" t="str">
        <x:v>15</x:v>
      </x:c>
      <x:c r="N34" s="43" t="str">
        <x:v>series-parallel-resistance</x:v>
      </x:c>
      <x:c r="O34" s="43" t="str">
        <x:v>CBSE Science 086 2026-27</x:v>
      </x:c>
      <x:c r="P34" s="43" t="str">
        <x:v>Board-practical physics: optics, electricity, magnetic effects, and applications.</x:v>
      </x:c>
    </x:row>
    <x:row r="35">
      <x:c r="A35" s="43" t="str">
        <x:v>Optics</x:v>
      </x:c>
      <x:c r="B35" s="43" t="str">
        <x:v>Natural Phenomena</x:v>
      </x:c>
      <x:c r="C35" s="43" t="str">
        <x:v>Glass Slab and Prism</x:v>
      </x:c>
      <x:c r="D35" s="43" t="str">
        <x:v>c10-glass-prism</x:v>
      </x:c>
      <x:c r="E35" s="43" t="str">
        <x:v>Class 10</x:v>
      </x:c>
      <x:c r="F35" s="44" t="n">
        <x:v>10</x:v>
      </x:c>
      <x:c r="G35" s="44" t="str">
        <x:v>c10-natural-phenomena</x:v>
      </x:c>
      <x:c r="H35" s="44" t="n">
        <x:v>12</x:v>
      </x:c>
      <x:c r="I35" s="43" t="str">
        <x:v>experiment</x:v>
      </x:c>
      <x:c r="J35" s="43" t="str">
        <x:v>Trace refraction through glass slab. • Show dispersion through a prism.</x:v>
      </x:c>
      <x:c r="K35" s="43" t="str">
        <x:v>Glass slab • Prism • Protractor</x:v>
      </x:c>
      <x:c r="L35" s="43" t="str">
        <x:v>Glass Slab Refraction • Prism Dispersion</x:v>
      </x:c>
      <x:c r="M35" s="43" t="str">
        <x:v>54 • 60</x:v>
      </x:c>
      <x:c r="N35" s="43" t="str">
        <x:v>glass-slab-refraction • prism-dispersion</x:v>
      </x:c>
      <x:c r="O35" s="43" t="str">
        <x:v>CBSE Science 086 2026-27</x:v>
      </x:c>
      <x:c r="P35" s="43" t="str">
        <x:v>Board-practical physics: optics, electricity, magnetic effects, and applications.</x:v>
      </x:c>
    </x:row>
    <x:row r="36">
      <x:c r="A36" s="43" t="str">
        <x:v>Optics</x:v>
      </x:c>
      <x:c r="B36" s="43" t="str">
        <x:v>Natural Phenomena</x:v>
      </x:c>
      <x:c r="C36" s="43" t="str">
        <x:v>Human Eye and Defects</x:v>
      </x:c>
      <x:c r="D36" s="43" t="str">
        <x:v>c10-human-eye</x:v>
      </x:c>
      <x:c r="E36" s="43" t="str">
        <x:v>Class 10</x:v>
      </x:c>
      <x:c r="F36" s="44" t="n">
        <x:v>10</x:v>
      </x:c>
      <x:c r="G36" s="44" t="str">
        <x:v>c10-natural-phenomena</x:v>
      </x:c>
      <x:c r="H36" s="44" t="n">
        <x:v>12</x:v>
      </x:c>
      <x:c r="I36" s="43" t="str">
        <x:v>experiment</x:v>
      </x:c>
      <x:c r="J36" s="43" t="str">
        <x:v>Model myopia, hypermetropia, and correction. • Relate lens power to correction.</x:v>
      </x:c>
      <x:c r="K36" s="43" t="str">
        <x:v>Eye model • Corrective lens</x:v>
      </x:c>
      <x:c r="L36" s="43" t="str">
        <x:v>Human Eye and Vision Defects</x:v>
      </x:c>
      <x:c r="M36" s="43" t="str">
        <x:v>55</x:v>
      </x:c>
      <x:c r="N36" s="43" t="str">
        <x:v>human-eye-defects</x:v>
      </x:c>
      <x:c r="O36" s="43" t="str">
        <x:v>CBSE Science 086 2026-27</x:v>
      </x:c>
      <x:c r="P36" s="43" t="str">
        <x:v>Board-practical physics: optics, electricity, magnetic effects, and applications.</x:v>
      </x:c>
    </x:row>
    <x:row r="37">
      <x:c r="A37" s="43" t="str">
        <x:v>Optics</x:v>
      </x:c>
      <x:c r="B37" s="43" t="str">
        <x:v>Natural Phenomena</x:v>
      </x:c>
      <x:c r="C37" s="43" t="str">
        <x:v>Reflection by Spherical Mirrors</x:v>
      </x:c>
      <x:c r="D37" s="43" t="str">
        <x:v>c10-mirrors</x:v>
      </x:c>
      <x:c r="E37" s="43" t="str">
        <x:v>Class 10</x:v>
      </x:c>
      <x:c r="F37" s="44" t="n">
        <x:v>10</x:v>
      </x:c>
      <x:c r="G37" s="44" t="str">
        <x:v>c10-natural-phenomena</x:v>
      </x:c>
      <x:c r="H37" s="44" t="n">
        <x:v>12</x:v>
      </x:c>
      <x:c r="I37" s="43" t="str">
        <x:v>experiment</x:v>
      </x:c>
      <x:c r="J37" s="43" t="str">
        <x:v>Construct ray diagrams. • Use mirror formula and magnification.</x:v>
      </x:c>
      <x:c r="K37" s="43" t="str">
        <x:v>Light ray • Concave mirror • Object screen</x:v>
      </x:c>
      <x:c r="L37" s="43" t="str">
        <x:v>Mirror Formula</x:v>
      </x:c>
      <x:c r="M37" s="43" t="str">
        <x:v>58</x:v>
      </x:c>
      <x:c r="N37" s="43" t="str">
        <x:v>mirror-formula</x:v>
      </x:c>
      <x:c r="O37" s="43" t="str">
        <x:v>CBSE Science 086 2026-27</x:v>
      </x:c>
      <x:c r="P37" s="43" t="str">
        <x:v>Board-practical physics: optics, electricity, magnetic effects, and applications.</x:v>
      </x:c>
    </x:row>
    <x:row r="38">
      <x:c r="A38" s="43" t="str">
        <x:v>Optics</x:v>
      </x:c>
      <x:c r="B38" s="43" t="str">
        <x:v>Natural Phenomena</x:v>
      </x:c>
      <x:c r="C38" s="43" t="str">
        <x:v>Refraction by Lenses</x:v>
      </x:c>
      <x:c r="D38" s="43" t="str">
        <x:v>c10-lenses</x:v>
      </x:c>
      <x:c r="E38" s="43" t="str">
        <x:v>Class 10</x:v>
      </x:c>
      <x:c r="F38" s="44" t="n">
        <x:v>10</x:v>
      </x:c>
      <x:c r="G38" s="44" t="str">
        <x:v>c10-natural-phenomena</x:v>
      </x:c>
      <x:c r="H38" s="44" t="n">
        <x:v>12</x:v>
      </x:c>
      <x:c r="I38" s="43" t="str">
        <x:v>experiment</x:v>
      </x:c>
      <x:c r="J38" s="43" t="str">
        <x:v>Compare convex and concave lens images. • Use lens formula and power.</x:v>
      </x:c>
      <x:c r="K38" s="43" t="str">
        <x:v>Convex lens • Screen • Ray diagram</x:v>
      </x:c>
      <x:c r="L38" s="43" t="str">
        <x:v>Lens Formula</x:v>
      </x:c>
      <x:c r="M38" s="43" t="str">
        <x:v>56</x:v>
      </x:c>
      <x:c r="N38" s="43" t="str">
        <x:v>lens-formula</x:v>
      </x:c>
      <x:c r="O38" s="43" t="str">
        <x:v>CBSE Science 086 2026-27</x:v>
      </x:c>
      <x:c r="P38" s="43" t="str">
        <x:v>Board-practical physics: optics, electricity, magnetic effects, and applications.</x:v>
      </x:c>
    </x:row>
    <x:row r="39">
      <x:c r="A39" s="43" t="str">
        <x:v>Energy</x:v>
      </x:c>
      <x:c r="B39" s="43" t="str">
        <x:v>Sources of Energy</x:v>
      </x:c>
      <x:c r="C39" s="43" t="str">
        <x:v>Conventional and Renewable Energy Sources</x:v>
      </x:c>
      <x:c r="D39" s="43" t="str">
        <x:v>c10-sources-energy</x:v>
      </x:c>
      <x:c r="E39" s="43" t="str">
        <x:v>Class 10</x:v>
      </x:c>
      <x:c r="F39" s="44" t="n">
        <x:v>10</x:v>
      </x:c>
      <x:c r="G39" s="44" t="str">
        <x:v>c10-energy-sources</x:v>
      </x:c>
      <x:c r="H39" s="44" t="n">
        <x:v>5</x:v>
      </x:c>
      <x:c r="I39" s="43" t="str">
        <x:v>experiment</x:v>
      </x:c>
      <x:c r="J39" s="43" t="str">
        <x:v>Compare output, efficiency, cost, and environmental impact. • Choose suitable energy sources for daily situations.</x:v>
      </x:c>
      <x:c r="K39" s="43" t="str">
        <x:v>Energy dashboard • Efficiency slider • Impact meter</x:v>
      </x:c>
      <x:c r="L39" s="43" t="str">
        <x:v>Sources of Energy Comparator</x:v>
      </x:c>
      <x:c r="M39" s="43" t="str">
        <x:v>20</x:v>
      </x:c>
      <x:c r="N39" s="43" t="str">
        <x:v>sources-of-energy</x:v>
      </x:c>
      <x:c r="O39" s="43" t="str">
        <x:v>CBSE Science 086 2026-27</x:v>
      </x:c>
      <x:c r="P39" s="43" t="str">
        <x:v>Board-practical physics: optics, electricity, magnetic effects, and applications.</x:v>
      </x:c>
    </x:row>
    <x:row r="40">
      <x:c r="A40" s="43" t="str">
        <x:v>Astronomy</x:v>
      </x:c>
      <x:c r="B40" s="43" t="str">
        <x:v>Laws, Energy, Rotation, and Gravitation</x:v>
      </x:c>
      <x:c r="C40" s="43" t="str">
        <x:v>Gravitation</x:v>
      </x:c>
      <x:c r="D40" s="43" t="str">
        <x:v>c11-gravitation</x:v>
      </x:c>
      <x:c r="E40" s="43" t="str">
        <x:v>Class 11</x:v>
      </x:c>
      <x:c r="F40" s="44" t="n">
        <x:v>11</x:v>
      </x:c>
      <x:c r="G40" s="44" t="str">
        <x:v>c11-mechanics-core</x:v>
      </x:c>
      <x:c r="H40" s="44" t="n">
        <x:v>17</x:v>
      </x:c>
      <x:c r="I40" s="43" t="str">
        <x:v>experiment</x:v>
      </x:c>
      <x:c r="J40" s="43" t="str">
        <x:v>Use Kepler's laws. • Compare orbital speed, escape speed, and satellite energy.</x:v>
      </x:c>
      <x:c r="K40" s="43" t="str">
        <x:v>Planet orbit visualizer</x:v>
      </x:c>
      <x:c r="L40" s="43" t="str">
        <x:v>Satellite Orbit and Escape Speed</x:v>
      </x:c>
      <x:c r="M40" s="43" t="str">
        <x:v>1</x:v>
      </x:c>
      <x:c r="N40" s="43" t="str">
        <x:v>satellite-orbit</x:v>
      </x:c>
      <x:c r="O40" s="43" t="str">
        <x:v>CBSE Physics 042 2026-27</x:v>
      </x:c>
      <x:c r="P40" s="43" t="str">
        <x:v>Senior-secondary mechanics, matter, heat, thermodynamics, oscillations, and waves.</x:v>
      </x:c>
    </x:row>
    <x:row r="41">
      <x:c r="A41" s="43" t="str">
        <x:v>Mechanics</x:v>
      </x:c>
      <x:c r="B41" s="43" t="str">
        <x:v>Laws, Energy, Rotation, and Gravitation</x:v>
      </x:c>
      <x:c r="C41" s="43" t="str">
        <x:v>Laws of Motion</x:v>
      </x:c>
      <x:c r="D41" s="43" t="str">
        <x:v>c11-laws-motion</x:v>
      </x:c>
      <x:c r="E41" s="43" t="str">
        <x:v>Class 11</x:v>
      </x:c>
      <x:c r="F41" s="44" t="n">
        <x:v>11</x:v>
      </x:c>
      <x:c r="G41" s="44" t="str">
        <x:v>c11-mechanics-core</x:v>
      </x:c>
      <x:c r="H41" s="44" t="n">
        <x:v>17</x:v>
      </x:c>
      <x:c r="I41" s="43" t="str">
        <x:v>experiment</x:v>
      </x:c>
      <x:c r="J41" s="43" t="str">
        <x:v>Apply Newton's laws with friction and circular motion. • Use impulse and momentum conservation.</x:v>
      </x:c>
      <x:c r="K41" s="43" t="str">
        <x:v>Cart • Force sensor</x:v>
      </x:c>
      <x:c r="L41" s="43" t="str">
        <x:v>Newton's Second Law • Friction • Elastic Collision</x:v>
      </x:c>
      <x:c r="M41" s="43" t="str">
        <x:v>41 • 37 • 35</x:v>
      </x:c>
      <x:c r="N41" s="43" t="str">
        <x:v>newton-s-second-law • friction • elastic-collision</x:v>
      </x:c>
      <x:c r="O41" s="43" t="str">
        <x:v>CBSE Physics 042 2026-27</x:v>
      </x:c>
      <x:c r="P41" s="43" t="str">
        <x:v>Senior-secondary mechanics, matter, heat, thermodynamics, oscillations, and waves.</x:v>
      </x:c>
    </x:row>
    <x:row r="42">
      <x:c r="A42" s="43" t="str">
        <x:v>Mechanics</x:v>
      </x:c>
      <x:c r="B42" s="43" t="str">
        <x:v>Laws, Energy, Rotation, and Gravitation</x:v>
      </x:c>
      <x:c r="C42" s="43" t="str">
        <x:v>Rotational Motion</x:v>
      </x:c>
      <x:c r="D42" s="43" t="str">
        <x:v>c11-rotation</x:v>
      </x:c>
      <x:c r="E42" s="43" t="str">
        <x:v>Class 11</x:v>
      </x:c>
      <x:c r="F42" s="44" t="n">
        <x:v>11</x:v>
      </x:c>
      <x:c r="G42" s="44" t="str">
        <x:v>c11-mechanics-core</x:v>
      </x:c>
      <x:c r="H42" s="44" t="n">
        <x:v>17</x:v>
      </x:c>
      <x:c r="I42" s="43" t="str">
        <x:v>experiment</x:v>
      </x:c>
      <x:c r="J42" s="43" t="str">
        <x:v>Relate torque, angular momentum, and moment of inertia. • Compare linear and rotational motion.</x:v>
      </x:c>
      <x:c r="K42" s="43" t="str">
        <x:v>Disc • Rod • Wheel</x:v>
      </x:c>
      <x:c r="L42" s="43" t="str">
        <x:v>Rotational Dynamics</x:v>
      </x:c>
      <x:c r="M42" s="43" t="str">
        <x:v>43</x:v>
      </x:c>
      <x:c r="N42" s="43" t="str">
        <x:v>rotational-dynamics</x:v>
      </x:c>
      <x:c r="O42" s="43" t="str">
        <x:v>CBSE Physics 042 2026-27</x:v>
      </x:c>
      <x:c r="P42" s="43" t="str">
        <x:v>Senior-secondary mechanics, matter, heat, thermodynamics, oscillations, and waves.</x:v>
      </x:c>
    </x:row>
    <x:row r="43">
      <x:c r="A43" s="43" t="str">
        <x:v>Mechanics</x:v>
      </x:c>
      <x:c r="B43" s="43" t="str">
        <x:v>Laws, Energy, Rotation, and Gravitation</x:v>
      </x:c>
      <x:c r="C43" s="43" t="str">
        <x:v>Work, Energy, Power, and Collisions</x:v>
      </x:c>
      <x:c r="D43" s="43" t="str">
        <x:v>c11-energy-collisions</x:v>
      </x:c>
      <x:c r="E43" s="43" t="str">
        <x:v>Class 11</x:v>
      </x:c>
      <x:c r="F43" s="44" t="n">
        <x:v>11</x:v>
      </x:c>
      <x:c r="G43" s="44" t="str">
        <x:v>c11-mechanics-core</x:v>
      </x:c>
      <x:c r="H43" s="44" t="n">
        <x:v>17</x:v>
      </x:c>
      <x:c r="I43" s="43" t="str">
        <x:v>experiment</x:v>
      </x:c>
      <x:c r="J43" s="43" t="str">
        <x:v>Apply work-energy theorem. • Compare elastic and inelastic collisions.</x:v>
      </x:c>
      <x:c r="K43" s="43" t="str">
        <x:v>Ramp • Collision carts</x:v>
      </x:c>
      <x:c r="L43" s="43" t="str">
        <x:v>Conservation of Energy • Elastic Collision</x:v>
      </x:c>
      <x:c r="M43" s="43" t="str">
        <x:v>33 • 35</x:v>
      </x:c>
      <x:c r="N43" s="43" t="str">
        <x:v>conservation-of-energy • elastic-collision</x:v>
      </x:c>
      <x:c r="O43" s="43" t="str">
        <x:v>CBSE Physics 042 2026-27</x:v>
      </x:c>
      <x:c r="P43" s="43" t="str">
        <x:v>Senior-secondary mechanics, matter, heat, thermodynamics, oscillations, and waves.</x:v>
      </x:c>
    </x:row>
    <x:row r="44">
      <x:c r="A44" s="43" t="str">
        <x:v>Oscillations</x:v>
      </x:c>
      <x:c r="B44" s="43" t="str">
        <x:v>Matter, Thermal Physics, Oscillations, and Waves</x:v>
      </x:c>
      <x:c r="C44" s="43" t="str">
        <x:v>Chaotic and Coupled Oscillators</x:v>
      </x:c>
      <x:c r="D44" s="43" t="str">
        <x:v>c11-chaos-pendulum</x:v>
      </x:c>
      <x:c r="E44" s="43" t="str">
        <x:v>Class 11</x:v>
      </x:c>
      <x:c r="F44" s="44" t="n">
        <x:v>11</x:v>
      </x:c>
      <x:c r="G44" s="44" t="str">
        <x:v>c11-matter-thermal-waves</x:v>
      </x:c>
      <x:c r="H44" s="44" t="n">
        <x:v>30</x:v>
      </x:c>
      <x:c r="I44" s="43" t="str">
        <x:v>experiment</x:v>
      </x:c>
      <x:c r="J44" s="43" t="str">
        <x:v>Show sensitive dependence on initial conditions in a double pendulum. • Contrast regular and chaotic motion.</x:v>
      </x:c>
      <x:c r="K44" s="43" t="str">
        <x:v>Double pendulum • Phase plot</x:v>
      </x:c>
      <x:c r="L44" s="43" t="str">
        <x:v>Chaotic and Coupled Oscillators</x:v>
      </x:c>
      <x:c r="M44" s="43" t="str">
        <x:v>64</x:v>
      </x:c>
      <x:c r="N44" s="43" t="str">
        <x:v>chaotic-coupled-oscillators</x:v>
      </x:c>
      <x:c r="O44" s="43" t="str">
        <x:v>CBSE Physics 042 2026-27</x:v>
      </x:c>
      <x:c r="P44" s="43" t="str">
        <x:v>Senior-secondary mechanics, matter, heat, thermodynamics, oscillations, and waves.</x:v>
      </x:c>
    </x:row>
    <x:row r="45">
      <x:c r="A45" s="43" t="str">
        <x:v>Thermodynamics</x:v>
      </x:c>
      <x:c r="B45" s="43" t="str">
        <x:v>Matter, Thermal Physics, Oscillations, and Waves</x:v>
      </x:c>
      <x:c r="C45" s="43" t="str">
        <x:v>Kinetic Theory</x:v>
      </x:c>
      <x:c r="D45" s="43" t="str">
        <x:v>c11-kinetic-theory</x:v>
      </x:c>
      <x:c r="E45" s="43" t="str">
        <x:v>Class 11</x:v>
      </x:c>
      <x:c r="F45" s="44" t="n">
        <x:v>11</x:v>
      </x:c>
      <x:c r="G45" s="44" t="str">
        <x:v>c11-matter-thermal-waves</x:v>
      </x:c>
      <x:c r="H45" s="44" t="n">
        <x:v>30</x:v>
      </x:c>
      <x:c r="I45" s="43" t="str">
        <x:v>experiment</x:v>
      </x:c>
      <x:c r="J45" s="43" t="str">
        <x:v>Relate molecular motion to pressure and temperature. • Visualize ideal gas assumptions.</x:v>
      </x:c>
      <x:c r="K45" s="43" t="str">
        <x:v>Gas container • Particle view</x:v>
      </x:c>
      <x:c r="L45" s="43" t="str">
        <x:v>Gas Laws and Kinetic Theory</x:v>
      </x:c>
      <x:c r="M45" s="43" t="str">
        <x:v>66</x:v>
      </x:c>
      <x:c r="N45" s="43" t="str">
        <x:v>gas-laws</x:v>
      </x:c>
      <x:c r="O45" s="43" t="str">
        <x:v>CBSE Physics 042 2026-27</x:v>
      </x:c>
      <x:c r="P45" s="43" t="str">
        <x:v>Senior-secondary mechanics, matter, heat, thermodynamics, oscillations, and waves.</x:v>
      </x:c>
    </x:row>
    <x:row r="46">
      <x:c r="A46" s="43" t="str">
        <x:v>Waves</x:v>
      </x:c>
      <x:c r="B46" s="43" t="str">
        <x:v>Matter, Thermal Physics, Oscillations, and Waves</x:v>
      </x:c>
      <x:c r="C46" s="43" t="str">
        <x:v>Oscillations and Waves</x:v>
      </x:c>
      <x:c r="D46" s="43" t="str">
        <x:v>c11-oscillations-waves</x:v>
      </x:c>
      <x:c r="E46" s="43" t="str">
        <x:v>Class 11</x:v>
      </x:c>
      <x:c r="F46" s="44" t="n">
        <x:v>11</x:v>
      </x:c>
      <x:c r="G46" s="44" t="str">
        <x:v>c11-matter-thermal-waves</x:v>
      </x:c>
      <x:c r="H46" s="44" t="n">
        <x:v>30</x:v>
      </x:c>
      <x:c r="I46" s="43" t="str">
        <x:v>experiment</x:v>
      </x:c>
      <x:c r="J46" s="43" t="str">
        <x:v>Explore SHM, resonance, standing waves, and sound speed. • Use frequency, wavelength, and phase.</x:v>
      </x:c>
      <x:c r="K46" s="43" t="str">
        <x:v>Pendulum • Spring • Wave source</x:v>
      </x:c>
      <x:c r="L46" s="43" t="str">
        <x:v>Simple Pendulum • Spring-Mass SHM • Wave Lab • Chladni Plate</x:v>
      </x:c>
      <x:c r="M46" s="43" t="str">
        <x:v>44 • 78 • 79 • 71</x:v>
      </x:c>
      <x:c r="N46" s="43" t="str">
        <x:v>simple-pendulum • shm-spring • wave-lab • chladni-plate</x:v>
      </x:c>
      <x:c r="O46" s="43" t="str">
        <x:v>CBSE Physics 042 2026-27</x:v>
      </x:c>
      <x:c r="P46" s="43" t="str">
        <x:v>Senior-secondary mechanics, matter, heat, thermodynamics, oscillations, and waves.</x:v>
      </x:c>
    </x:row>
    <x:row r="47">
      <x:c r="A47" s="43" t="str">
        <x:v>Oscillations</x:v>
      </x:c>
      <x:c r="B47" s="43" t="str">
        <x:v>Matter, Thermal Physics, Oscillations, and Waves</x:v>
      </x:c>
      <x:c r="C47" s="43" t="str">
        <x:v>Resonance and Forced Oscillations</x:v>
      </x:c>
      <x:c r="D47" s="43" t="str">
        <x:v>c11-resonance</x:v>
      </x:c>
      <x:c r="E47" s="43" t="str">
        <x:v>Class 11</x:v>
      </x:c>
      <x:c r="F47" s="44" t="n">
        <x:v>11</x:v>
      </x:c>
      <x:c r="G47" s="44" t="str">
        <x:v>c11-matter-thermal-waves</x:v>
      </x:c>
      <x:c r="H47" s="44" t="n">
        <x:v>30</x:v>
      </x:c>
      <x:c r="I47" s="43" t="str">
        <x:v>experiment</x:v>
      </x:c>
      <x:c r="J47" s="43" t="str">
        <x:v>Explain resonance and damping. • Identify natural frequency. • Model forced oscillations and energy transfer.</x:v>
      </x:c>
      <x:c r="K47" s="43" t="str">
        <x:v>Pendulum • Wave source • Audio oscillator</x:v>
      </x:c>
      <x:c r="L47" s="43" t="str">
        <x:v>Chladni Plate • Spring-Mass SHM</x:v>
      </x:c>
      <x:c r="M47" s="43" t="str">
        <x:v>71 • 78</x:v>
      </x:c>
      <x:c r="N47" s="43" t="str">
        <x:v>chladni-plate • shm-spring</x:v>
      </x:c>
      <x:c r="O47" s="43" t="str">
        <x:v>CBSE Physics 042 2026-27</x:v>
      </x:c>
      <x:c r="P47" s="43" t="str">
        <x:v>Senior-secondary mechanics, matter, heat, thermodynamics, oscillations, and waves.</x:v>
      </x:c>
    </x:row>
    <x:row r="48">
      <x:c r="A48" s="43" t="str">
        <x:v>Oscillations</x:v>
      </x:c>
      <x:c r="B48" s="43" t="str">
        <x:v>Matter, Thermal Physics, Oscillations, and Waves</x:v>
      </x:c>
      <x:c r="C48" s="43" t="str">
        <x:v>Simple Harmonic Motion - Pendulum and Spring</x:v>
      </x:c>
      <x:c r="D48" s="43" t="str">
        <x:v>c11-shm-pendulum</x:v>
      </x:c>
      <x:c r="E48" s="43" t="str">
        <x:v>Class 11</x:v>
      </x:c>
      <x:c r="F48" s="44" t="n">
        <x:v>11</x:v>
      </x:c>
      <x:c r="G48" s="44" t="str">
        <x:v>c11-matter-thermal-waves</x:v>
      </x:c>
      <x:c r="H48" s="44" t="n">
        <x:v>30</x:v>
      </x:c>
      <x:c r="I48" s="43" t="str">
        <x:v>experiment</x:v>
      </x:c>
      <x:c r="J48" s="43" t="str">
        <x:v>Describe SHM with period, frequency, and amplitude. • Compare pendulum and spring-mass oscillators.</x:v>
      </x:c>
      <x:c r="K48" s="43" t="str">
        <x:v>Pendulum • Spring • Stopwatch • Graph plotter</x:v>
      </x:c>
      <x:c r="L48" s="43" t="str">
        <x:v>Simple Pendulum • Spring-Mass SHM</x:v>
      </x:c>
      <x:c r="M48" s="43" t="str">
        <x:v>44 • 78</x:v>
      </x:c>
      <x:c r="N48" s="43" t="str">
        <x:v>simple-pendulum • shm-spring</x:v>
      </x:c>
      <x:c r="O48" s="43" t="str">
        <x:v>CBSE Physics 042 2026-27</x:v>
      </x:c>
      <x:c r="P48" s="43" t="str">
        <x:v>Senior-secondary mechanics, matter, heat, thermodynamics, oscillations, and waves.</x:v>
      </x:c>
    </x:row>
    <x:row r="49">
      <x:c r="A49" s="43" t="str">
        <x:v>Fluid Mechanics</x:v>
      </x:c>
      <x:c r="B49" s="43" t="str">
        <x:v>Matter, Thermal Physics, Oscillations, and Waves</x:v>
      </x:c>
      <x:c r="C49" s="43" t="str">
        <x:v>Solids and Fluids</x:v>
      </x:c>
      <x:c r="D49" s="43" t="str">
        <x:v>c11-solids-fluids</x:v>
      </x:c>
      <x:c r="E49" s="43" t="str">
        <x:v>Class 11</x:v>
      </x:c>
      <x:c r="F49" s="44" t="n">
        <x:v>11</x:v>
      </x:c>
      <x:c r="G49" s="44" t="str">
        <x:v>c11-matter-thermal-waves</x:v>
      </x:c>
      <x:c r="H49" s="44" t="n">
        <x:v>30</x:v>
      </x:c>
      <x:c r="I49" s="43" t="str">
        <x:v>experiment</x:v>
      </x:c>
      <x:c r="J49" s="43" t="str">
        <x:v>Model elasticity, viscosity, Bernoulli flow, and surface tension. • Predict fluid pressure and lift.</x:v>
      </x:c>
      <x:c r="K49" s="43" t="str">
        <x:v>Fluid region • Spring • Flow tube</x:v>
      </x:c>
      <x:c r="L49" s="43" t="str">
        <x:v>Buoyancy • Hooke's Law • Fluid Pressure with Depth • Bernoulli Fluid Flow</x:v>
      </x:c>
      <x:c r="M49" s="43" t="str">
        <x:v>22 • 38 • 24 • 21</x:v>
      </x:c>
      <x:c r="N49" s="43" t="str">
        <x:v>buoyancy • hooke-s-law • fluid-pressure • bernoulli-fluid-flow</x:v>
      </x:c>
      <x:c r="O49" s="43" t="str">
        <x:v>CBSE Physics 042 2026-27</x:v>
      </x:c>
      <x:c r="P49" s="43" t="str">
        <x:v>Senior-secondary mechanics, matter, heat, thermodynamics, oscillations, and waves.</x:v>
      </x:c>
    </x:row>
    <x:row r="50">
      <x:c r="A50" s="43" t="str">
        <x:v>Thermodynamics</x:v>
      </x:c>
      <x:c r="B50" s="43" t="str">
        <x:v>Matter, Thermal Physics, Oscillations, and Waves</x:v>
      </x:c>
      <x:c r="C50" s="43" t="str">
        <x:v>Thermal Properties and Thermodynamics</x:v>
      </x:c>
      <x:c r="D50" s="43" t="str">
        <x:v>c11-thermal</x:v>
      </x:c>
      <x:c r="E50" s="43" t="str">
        <x:v>Class 11</x:v>
      </x:c>
      <x:c r="F50" s="44" t="n">
        <x:v>11</x:v>
      </x:c>
      <x:c r="G50" s="44" t="str">
        <x:v>c11-matter-thermal-waves</x:v>
      </x:c>
      <x:c r="H50" s="44" t="n">
        <x:v>30</x:v>
      </x:c>
      <x:c r="I50" s="43" t="str">
        <x:v>experiment</x:v>
      </x:c>
      <x:c r="J50" s="43" t="str">
        <x:v>Explore expansion, calorimetry, heat transfer, and thermodynamic processes. • Use PV diagrams.</x:v>
      </x:c>
      <x:c r="K50" s="43" t="str">
        <x:v>Thermometer • Gas container • PV graph</x:v>
      </x:c>
      <x:c r="L50" s="43" t="str">
        <x:v>Heat Transfer • Gas Laws and Kinetic Theory • Thermodynamic Processes</x:v>
      </x:c>
      <x:c r="M50" s="43" t="str">
        <x:v>68 • 66 • 70</x:v>
      </x:c>
      <x:c r="N50" s="43" t="str">
        <x:v>heat-transfer • gas-laws • thermodynamic-process</x:v>
      </x:c>
      <x:c r="O50" s="43" t="str">
        <x:v>CBSE Physics 042 2026-27</x:v>
      </x:c>
      <x:c r="P50" s="43" t="str">
        <x:v>Senior-secondary mechanics, matter, heat, thermodynamics, oscillations, and waves.</x:v>
      </x:c>
    </x:row>
    <x:row r="51">
      <x:c r="A51" s="43" t="str">
        <x:v>Mechanics</x:v>
      </x:c>
      <x:c r="B51" s="43" t="str">
        <x:v>Measurement and Kinematics</x:v>
      </x:c>
      <x:c r="C51" s="43" t="str">
        <x:v>Motion in a Plane</x:v>
      </x:c>
      <x:c r="D51" s="43" t="str">
        <x:v>c11-plane-motion</x:v>
      </x:c>
      <x:c r="E51" s="43" t="str">
        <x:v>Class 11</x:v>
      </x:c>
      <x:c r="F51" s="44" t="n">
        <x:v>11</x:v>
      </x:c>
      <x:c r="G51" s="44" t="str">
        <x:v>c11-measurement-kinematics</x:v>
      </x:c>
      <x:c r="H51" s="44" t="n">
        <x:v>23</x:v>
      </x:c>
      <x:c r="I51" s="43" t="str">
        <x:v>experiment</x:v>
      </x:c>
      <x:c r="J51" s="43" t="str">
        <x:v>Resolve vectors. • Model projectile and circular motion.</x:v>
      </x:c>
      <x:c r="K51" s="43" t="str">
        <x:v>Vector arrows • Projectile launcher</x:v>
      </x:c>
      <x:c r="L51" s="43" t="str">
        <x:v>Projectile Motion • Circular Motion • Vector Resolution</x:v>
      </x:c>
      <x:c r="M51" s="43" t="str">
        <x:v>42 • 32 • 46</x:v>
      </x:c>
      <x:c r="N51" s="43" t="str">
        <x:v>projectile-motion • circular-motion • vector-resolution</x:v>
      </x:c>
      <x:c r="O51" s="43" t="str">
        <x:v>CBSE Physics 042 2026-27</x:v>
      </x:c>
      <x:c r="P51" s="43" t="str">
        <x:v>Senior-secondary mechanics, matter, heat, thermodynamics, oscillations, and waves.</x:v>
      </x:c>
    </x:row>
    <x:row r="52">
      <x:c r="A52" s="43" t="str">
        <x:v>Mechanics</x:v>
      </x:c>
      <x:c r="B52" s="43" t="str">
        <x:v>Measurement and Kinematics</x:v>
      </x:c>
      <x:c r="C52" s="43" t="str">
        <x:v>Motion in a Straight Line</x:v>
      </x:c>
      <x:c r="D52" s="43" t="str">
        <x:v>c11-straight-line</x:v>
      </x:c>
      <x:c r="E52" s="43" t="str">
        <x:v>Class 11</x:v>
      </x:c>
      <x:c r="F52" s="44" t="n">
        <x:v>11</x:v>
      </x:c>
      <x:c r="G52" s="44" t="str">
        <x:v>c11-measurement-kinematics</x:v>
      </x:c>
      <x:c r="H52" s="44" t="n">
        <x:v>23</x:v>
      </x:c>
      <x:c r="I52" s="43" t="str">
        <x:v>experiment</x:v>
      </x:c>
      <x:c r="J52" s="43" t="str">
        <x:v>Connect calculus and graphs to motion. • Solve uniformly accelerated motion.</x:v>
      </x:c>
      <x:c r="K52" s="43" t="str">
        <x:v>Graph plotter • Motion sensor</x:v>
      </x:c>
      <x:c r="L52" s="43" t="str">
        <x:v>Uniform Motion • Free Fall</x:v>
      </x:c>
      <x:c r="M52" s="43" t="str">
        <x:v>45 • 36</x:v>
      </x:c>
      <x:c r="N52" s="43" t="str">
        <x:v>uniform-motion • free-fall</x:v>
      </x:c>
      <x:c r="O52" s="43" t="str">
        <x:v>CBSE Physics 042 2026-27</x:v>
      </x:c>
      <x:c r="P52" s="43" t="str">
        <x:v>Senior-secondary mechanics, matter, heat, thermodynamics, oscillations, and waves.</x:v>
      </x:c>
    </x:row>
    <x:row r="53">
      <x:c r="A53" s="43" t="str">
        <x:v>Measurement</x:v>
      </x:c>
      <x:c r="B53" s="43" t="str">
        <x:v>Measurement and Kinematics</x:v>
      </x:c>
      <x:c r="C53" s="43" t="str">
        <x:v>Units, Dimensions, and Errors</x:v>
      </x:c>
      <x:c r="D53" s="43" t="str">
        <x:v>c11-units-errors</x:v>
      </x:c>
      <x:c r="E53" s="43" t="str">
        <x:v>Class 11</x:v>
      </x:c>
      <x:c r="F53" s="44" t="n">
        <x:v>11</x:v>
      </x:c>
      <x:c r="G53" s="44" t="str">
        <x:v>c11-measurement-kinematics</x:v>
      </x:c>
      <x:c r="H53" s="44" t="n">
        <x:v>23</x:v>
      </x:c>
      <x:c r="I53" s="43" t="str">
        <x:v>experiment</x:v>
      </x:c>
      <x:c r="J53" s="43" t="str">
        <x:v>Use SI units and dimensions. • Estimate uncertainty and significant figures.</x:v>
      </x:c>
      <x:c r="K53" s="43" t="str">
        <x:v>Vernier • Screw gauge • Error table</x:v>
      </x:c>
      <x:c r="L53" s="43" t="str">
        <x:v>Measurement, Error, and Significant Figures</x:v>
      </x:c>
      <x:c r="M53" s="43" t="str">
        <x:v>30</x:v>
      </x:c>
      <x:c r="N53" s="43" t="str">
        <x:v>measurement-errors</x:v>
      </x:c>
      <x:c r="O53" s="43" t="str">
        <x:v>CBSE Physics 042 2026-27</x:v>
      </x:c>
      <x:c r="P53" s="43" t="str">
        <x:v>Senior-secondary mechanics, matter, heat, thermodynamics, oscillations, and waves.</x:v>
      </x:c>
    </x:row>
    <x:row r="54">
      <x:c r="A54" s="43" t="str">
        <x:v>Electricity</x:v>
      </x:c>
      <x:c r="B54" s="43" t="str">
        <x:v>Electricity and Magnetism</x:v>
      </x:c>
      <x:c r="C54" s="43" t="str">
        <x:v>Current Electricity</x:v>
      </x:c>
      <x:c r="D54" s="43" t="str">
        <x:v>c12-current</x:v>
      </x:c>
      <x:c r="E54" s="43" t="str">
        <x:v>Class 12</x:v>
      </x:c>
      <x:c r="F54" s="44" t="n">
        <x:v>12</x:v>
      </x:c>
      <x:c r="G54" s="44" t="str">
        <x:v>c12-electricity-magnetism</x:v>
      </x:c>
      <x:c r="H54" s="44" t="n">
        <x:v>33</x:v>
      </x:c>
      <x:c r="I54" s="43" t="str">
        <x:v>experiment</x:v>
      </x:c>
      <x:c r="J54" s="43" t="str">
        <x:v>Use Ohm's law, drift velocity, Kirchhoff rules, and bridge circuits. • Analyse cell internal resistance.</x:v>
      </x:c>
      <x:c r="K54" s="43" t="str">
        <x:v>Circuit solver • Meter bridge • Potentiometer</x:v>
      </x:c>
      <x:c r="L54" s="43" t="str">
        <x:v>Ohm's Law V-I Graph • Series and Parallel Resistance • Kirchhoff Circuit Rules • Meter Bridge • Cell Internal Resistance</x:v>
      </x:c>
      <x:c r="M54" s="43" t="str">
        <x:v>14 • 15 • 12 • 13 • 6</x:v>
      </x:c>
      <x:c r="N54" s="43" t="str">
        <x:v>ohms-law • series-parallel-resistance • kirchhoff-circuit • meter-bridge • internal-resistance-cell</x:v>
      </x:c>
      <x:c r="O54" s="43" t="str">
        <x:v>CBSE Physics 042 2026-27</x:v>
      </x:c>
      <x:c r="P54" s="43" t="str">
        <x:v>Electricity, magnetism, optics, modern physics, nuclei, and semiconductor electronics.</x:v>
      </x:c>
    </x:row>
    <x:row r="55">
      <x:c r="A55" s="43" t="str">
        <x:v>Electricity</x:v>
      </x:c>
      <x:c r="B55" s="43" t="str">
        <x:v>Electricity and Magnetism</x:v>
      </x:c>
      <x:c r="C55" s="43" t="str">
        <x:v>Electric Charges, Fields, Potential, and Capacitance</x:v>
      </x:c>
      <x:c r="D55" s="43" t="str">
        <x:v>c12-electrostatics</x:v>
      </x:c>
      <x:c r="E55" s="43" t="str">
        <x:v>Class 12</x:v>
      </x:c>
      <x:c r="F55" s="44" t="n">
        <x:v>12</x:v>
      </x:c>
      <x:c r="G55" s="44" t="str">
        <x:v>c12-electricity-magnetism</x:v>
      </x:c>
      <x:c r="H55" s="44" t="n">
        <x:v>33</x:v>
      </x:c>
      <x:c r="I55" s="43" t="str">
        <x:v>experiment</x:v>
      </x:c>
      <x:c r="J55" s="43" t="str">
        <x:v>Visualize electric fields and equipotentials. • Compare capacitors in series and parallel.</x:v>
      </x:c>
      <x:c r="K55" s="43" t="str">
        <x:v>Charge • Electric field region • Capacitor</x:v>
      </x:c>
      <x:c r="L55" s="43" t="str">
        <x:v>Static Electricity and Lightning • Electrostatic Field and Potential • Capacitor Energy and Combination</x:v>
      </x:c>
      <x:c r="M55" s="43" t="str">
        <x:v>16 • 9 • 5</x:v>
      </x:c>
      <x:c r="N55" s="43" t="str">
        <x:v>static-electricity • electrostatic-field-potential • capacitor-lab</x:v>
      </x:c>
      <x:c r="O55" s="43" t="str">
        <x:v>CBSE Physics 042 2026-27</x:v>
      </x:c>
      <x:c r="P55" s="43" t="str">
        <x:v>Electricity, magnetism, optics, modern physics, nuclei, and semiconductor electronics.</x:v>
      </x:c>
    </x:row>
    <x:row r="56">
      <x:c r="A56" s="43" t="str">
        <x:v>Electricity</x:v>
      </x:c>
      <x:c r="B56" s="43" t="str">
        <x:v>Electricity and Magnetism</x:v>
      </x:c>
      <x:c r="C56" s="43" t="str">
        <x:v>EMI and Alternating Current</x:v>
      </x:c>
      <x:c r="D56" s="43" t="str">
        <x:v>c12-emi-ac</x:v>
      </x:c>
      <x:c r="E56" s="43" t="str">
        <x:v>Class 12</x:v>
      </x:c>
      <x:c r="F56" s="44" t="n">
        <x:v>12</x:v>
      </x:c>
      <x:c r="G56" s="44" t="str">
        <x:v>c12-electricity-magnetism</x:v>
      </x:c>
      <x:c r="H56" s="44" t="n">
        <x:v>33</x:v>
      </x:c>
      <x:c r="I56" s="43" t="str">
        <x:v>experiment</x:v>
      </x:c>
      <x:c r="J56" s="43" t="str">
        <x:v>Apply Faraday and Lenz laws. • Explore AC, LCR resonance, transformer, and generator.</x:v>
      </x:c>
      <x:c r="K56" s="43" t="str">
        <x:v>Coil • Magnet • AC source • Phasor graph</x:v>
      </x:c>
      <x:c r="L56" s="43" t="str">
        <x:v>Faraday Induction • AC Generator • Transformer Lab • AC LCR Resonance</x:v>
      </x:c>
      <x:c r="M56" s="43" t="str">
        <x:v>10 • 3 • 17 • 4</x:v>
      </x:c>
      <x:c r="N56" s="43" t="str">
        <x:v>emi-faraday • ac-generator • transformer-lab • ac-lcr-resonance</x:v>
      </x:c>
      <x:c r="O56" s="43" t="str">
        <x:v>CBSE Physics 042 2026-27</x:v>
      </x:c>
      <x:c r="P56" s="43" t="str">
        <x:v>Electricity, magnetism, optics, modern physics, nuclei, and semiconductor electronics.</x:v>
      </x:c>
    </x:row>
    <x:row r="57">
      <x:c r="A57" s="43" t="str">
        <x:v>Magnetism</x:v>
      </x:c>
      <x:c r="B57" s="43" t="str">
        <x:v>Electricity and Magnetism</x:v>
      </x:c>
      <x:c r="C57" s="43" t="str">
        <x:v>Moving Charges and Magnetism</x:v>
      </x:c>
      <x:c r="D57" s="43" t="str">
        <x:v>c12-magnetic-effects</x:v>
      </x:c>
      <x:c r="E57" s="43" t="str">
        <x:v>Class 12</x:v>
      </x:c>
      <x:c r="F57" s="44" t="n">
        <x:v>12</x:v>
      </x:c>
      <x:c r="G57" s="44" t="str">
        <x:v>c12-electricity-magnetism</x:v>
      </x:c>
      <x:c r="H57" s="44" t="n">
        <x:v>33</x:v>
      </x:c>
      <x:c r="I57" s="43" t="str">
        <x:v>experiment</x:v>
      </x:c>
      <x:c r="J57" s="43" t="str">
        <x:v>Visualize Lorentz force and field due to currents. • Model galvanometer conversion.</x:v>
      </x:c>
      <x:c r="K57" s="43" t="str">
        <x:v>Bar magnet • Current loop • Galvanometer</x:v>
      </x:c>
      <x:c r="L57" s="43" t="str">
        <x:v>Magnetic Field Around Current • Lorentz Force on Moving Charge</x:v>
      </x:c>
      <x:c r="M57" s="43" t="str">
        <x:v>28 • 27</x:v>
      </x:c>
      <x:c r="N57" s="43" t="str">
        <x:v>magnetic-field-current • lorentz-force</x:v>
      </x:c>
      <x:c r="O57" s="43" t="str">
        <x:v>CBSE Physics 042 2026-27</x:v>
      </x:c>
      <x:c r="P57" s="43" t="str">
        <x:v>Electricity, magnetism, optics, modern physics, nuclei, and semiconductor electronics.</x:v>
      </x:c>
    </x:row>
    <x:row r="58">
      <x:c r="A58" s="43" t="str">
        <x:v>Modern Physics</x:v>
      </x:c>
      <x:c r="B58" s="43" t="str">
        <x:v>Optics and Modern Physics</x:v>
      </x:c>
      <x:c r="C58" s="43" t="str">
        <x:v>Dual Nature, Atoms, and Nuclei</x:v>
      </x:c>
      <x:c r="D58" s="43" t="str">
        <x:v>c12-dual-atoms</x:v>
      </x:c>
      <x:c r="E58" s="43" t="str">
        <x:v>Class 12</x:v>
      </x:c>
      <x:c r="F58" s="44" t="n">
        <x:v>12</x:v>
      </x:c>
      <x:c r="G58" s="44" t="str">
        <x:v>c12-optics-modern</x:v>
      </x:c>
      <x:c r="H58" s="44" t="n">
        <x:v>30</x:v>
      </x:c>
      <x:c r="I58" s="43" t="str">
        <x:v>experiment</x:v>
      </x:c>
      <x:c r="J58" s="43" t="str">
        <x:v>Use photoelectric equation and de Broglie wavelength. • Model Bohr transitions and nuclear change.</x:v>
      </x:c>
      <x:c r="K58" s="43" t="str">
        <x:v>Photoelectric sim • Bohr sim • Nuclear chart</x:v>
      </x:c>
      <x:c r="L58" s="43" t="str">
        <x:v>Photoelectric Equation • de Broglie Wavelength • Bohr Atom Transitions • Nuclear Decay and Half-Life</x:v>
      </x:c>
      <x:c r="M58" s="43" t="str">
        <x:v>52 • 50 • 49 • 51</x:v>
      </x:c>
      <x:c r="N58" s="43" t="str">
        <x:v>photoelectric-equation • de-broglie-wavelength • bohr-model • nuclear-decay</x:v>
      </x:c>
      <x:c r="O58" s="43" t="str">
        <x:v>CBSE Physics 042 2026-27</x:v>
      </x:c>
      <x:c r="P58" s="43" t="str">
        <x:v>Electricity, magnetism, optics, modern physics, nuclei, and semiconductor electronics.</x:v>
      </x:c>
    </x:row>
    <x:row r="59">
      <x:c r="A59" s="43" t="str">
        <x:v>Waves</x:v>
      </x:c>
      <x:c r="B59" s="43" t="str">
        <x:v>Optics and Modern Physics</x:v>
      </x:c>
      <x:c r="C59" s="43" t="str">
        <x:v>Electromagnetic Waves</x:v>
      </x:c>
      <x:c r="D59" s="43" t="str">
        <x:v>c12-em-waves</x:v>
      </x:c>
      <x:c r="E59" s="43" t="str">
        <x:v>Class 12</x:v>
      </x:c>
      <x:c r="F59" s="44" t="n">
        <x:v>12</x:v>
      </x:c>
      <x:c r="G59" s="44" t="str">
        <x:v>c12-optics-modern</x:v>
      </x:c>
      <x:c r="H59" s="44" t="n">
        <x:v>30</x:v>
      </x:c>
      <x:c r="I59" s="43" t="str">
        <x:v>experiment</x:v>
      </x:c>
      <x:c r="J59" s="43" t="str">
        <x:v>Connect displacement current to EM waves. • Classify EM spectrum and uses.</x:v>
      </x:c>
      <x:c r="K59" s="43" t="str">
        <x:v>Spectrum viewer</x:v>
      </x:c>
      <x:c r="L59" s="43" t="str">
        <x:v>Electromagnetic Spectrum</x:v>
      </x:c>
      <x:c r="M59" s="43" t="str">
        <x:v>73</x:v>
      </x:c>
      <x:c r="N59" s="43" t="str">
        <x:v>em-spectrum</x:v>
      </x:c>
      <x:c r="O59" s="43" t="str">
        <x:v>CBSE Physics 042 2026-27</x:v>
      </x:c>
      <x:c r="P59" s="43" t="str">
        <x:v>Electricity, magnetism, optics, modern physics, nuclei, and semiconductor electronics.</x:v>
      </x:c>
    </x:row>
    <x:row r="60">
      <x:c r="A60" s="43" t="str">
        <x:v>Optics</x:v>
      </x:c>
      <x:c r="B60" s="43" t="str">
        <x:v>Optics and Modern Physics</x:v>
      </x:c>
      <x:c r="C60" s="43" t="str">
        <x:v>Ray Optics and Instruments</x:v>
      </x:c>
      <x:c r="D60" s="43" t="str">
        <x:v>c12-ray-optics</x:v>
      </x:c>
      <x:c r="E60" s="43" t="str">
        <x:v>Class 12</x:v>
      </x:c>
      <x:c r="F60" s="44" t="n">
        <x:v>12</x:v>
      </x:c>
      <x:c r="G60" s="44" t="str">
        <x:v>c12-optics-modern</x:v>
      </x:c>
      <x:c r="H60" s="44" t="n">
        <x:v>30</x:v>
      </x:c>
      <x:c r="I60" s="43" t="str">
        <x:v>experiment</x:v>
      </x:c>
      <x:c r="J60" s="43" t="str">
        <x:v>Model TIR, lenses, microscopes, and telescopes. • Use ray diagrams quantitatively.</x:v>
      </x:c>
      <x:c r="K60" s="43" t="str">
        <x:v>Light ray • Lens • Mirror • Prism</x:v>
      </x:c>
      <x:c r="L60" s="43" t="str">
        <x:v>Mirror Formula • Lens Formula • Glass Slab Refraction • Total Internal Reflection • Microscope and Telescope • Prism Dispersion</x:v>
      </x:c>
      <x:c r="M60" s="43" t="str">
        <x:v>58 • 56 • 54 • 63 • 57 • 60</x:v>
      </x:c>
      <x:c r="N60" s="43" t="str">
        <x:v>mirror-formula • lens-formula • glass-slab-refraction • total-internal-reflection • optical-instruments • prism-dispersion</x:v>
      </x:c>
      <x:c r="O60" s="43" t="str">
        <x:v>CBSE Physics 042 2026-27</x:v>
      </x:c>
      <x:c r="P60" s="43" t="str">
        <x:v>Electricity, magnetism, optics, modern physics, nuclei, and semiconductor electronics.</x:v>
      </x:c>
    </x:row>
    <x:row r="61">
      <x:c r="A61" s="43" t="str">
        <x:v>Electronics</x:v>
      </x:c>
      <x:c r="B61" s="43" t="str">
        <x:v>Optics and Modern Physics</x:v>
      </x:c>
      <x:c r="C61" s="43" t="str">
        <x:v>Semiconductor Electronics</x:v>
      </x:c>
      <x:c r="D61" s="43" t="str">
        <x:v>c12-semiconductors</x:v>
      </x:c>
      <x:c r="E61" s="43" t="str">
        <x:v>Class 12</x:v>
      </x:c>
      <x:c r="F61" s="44" t="n">
        <x:v>12</x:v>
      </x:c>
      <x:c r="G61" s="44" t="str">
        <x:v>c12-optics-modern</x:v>
      </x:c>
      <x:c r="H61" s="44" t="n">
        <x:v>30</x:v>
      </x:c>
      <x:c r="I61" s="43" t="str">
        <x:v>experiment</x:v>
      </x:c>
      <x:c r="J61" s="43" t="str">
        <x:v>Identify diode behavior. • Build rectifier and simple logic circuits.</x:v>
      </x:c>
      <x:c r="K61" s="43" t="str">
        <x:v>Diode • Resistor • AC source • Logic gates</x:v>
      </x:c>
      <x:c r="L61" s="43" t="str">
        <x:v>Semiconductor Diode and Rectifier • Logic Gates</x:v>
      </x:c>
      <x:c r="M61" s="43" t="str">
        <x:v>19 • 18</x:v>
      </x:c>
      <x:c r="N61" s="43" t="str">
        <x:v>semiconductor-diode • logic-gates</x:v>
      </x:c>
      <x:c r="O61" s="43" t="str">
        <x:v>CBSE Physics 042 2026-27</x:v>
      </x:c>
      <x:c r="P61" s="43" t="str">
        <x:v>Electricity, magnetism, optics, modern physics, nuclei, and semiconductor electronics.</x:v>
      </x:c>
    </x:row>
    <x:row r="62">
      <x:c r="A62" s="43" t="str">
        <x:v>Modern Physics</x:v>
      </x:c>
      <x:c r="B62" s="43" t="str">
        <x:v>Optics and Modern Physics</x:v>
      </x:c>
      <x:c r="C62" s="43" t="str">
        <x:v>Special Relativity Bridge</x:v>
      </x:c>
      <x:c r="D62" s="43" t="str">
        <x:v>c12-relativity-bridge</x:v>
      </x:c>
      <x:c r="E62" s="43" t="str">
        <x:v>Class 12</x:v>
      </x:c>
      <x:c r="F62" s="44" t="n">
        <x:v>12</x:v>
      </x:c>
      <x:c r="G62" s="44" t="str">
        <x:v>c12-optics-modern</x:v>
      </x:c>
      <x:c r="H62" s="44" t="n">
        <x:v>30</x:v>
      </x:c>
      <x:c r="I62" s="43" t="str">
        <x:v>experiment</x:v>
      </x:c>
      <x:c r="J62" s="43" t="str">
        <x:v>Compare proper time, measured time, and relativistic energy at high speed. • Use spacetime diagrams to reason about simultaneity.</x:v>
      </x:c>
      <x:c r="K62" s="43" t="str">
        <x:v>Light clock • Spacetime graph • Velocity slider</x:v>
      </x:c>
      <x:c r="L62" s="43" t="str">
        <x:v>Special Relativity Bridge</x:v>
      </x:c>
      <x:c r="M62" s="43" t="str">
        <x:v>53</x:v>
      </x:c>
      <x:c r="N62" s="43" t="str">
        <x:v>special-relativity-bridge</x:v>
      </x:c>
      <x:c r="O62" s="43" t="str">
        <x:v>CBSE Physics 042 2026-27</x:v>
      </x:c>
      <x:c r="P62" s="43" t="str">
        <x:v>Electricity, magnetism, optics, modern physics, nuclei, and semiconductor electronics.</x:v>
      </x:c>
    </x:row>
    <x:row r="63">
      <x:c r="A63" s="43" t="str">
        <x:v>Waves</x:v>
      </x:c>
      <x:c r="B63" s="43" t="str">
        <x:v>Optics and Modern Physics</x:v>
      </x:c>
      <x:c r="C63" s="43" t="str">
        <x:v>Wave Optics</x:v>
      </x:c>
      <x:c r="D63" s="43" t="str">
        <x:v>c12-wave-optics</x:v>
      </x:c>
      <x:c r="E63" s="43" t="str">
        <x:v>Class 12</x:v>
      </x:c>
      <x:c r="F63" s="44" t="n">
        <x:v>12</x:v>
      </x:c>
      <x:c r="G63" s="44" t="str">
        <x:v>c12-optics-modern</x:v>
      </x:c>
      <x:c r="H63" s="44" t="n">
        <x:v>30</x:v>
      </x:c>
      <x:c r="I63" s="43" t="str">
        <x:v>experiment</x:v>
      </x:c>
      <x:c r="J63" s="43" t="str">
        <x:v>Explore interference, diffraction, and polarization. • Measure fringe width.</x:v>
      </x:c>
      <x:c r="K63" s="43" t="str">
        <x:v>Wave source • Slits • Screen • Polarizers</x:v>
      </x:c>
      <x:c r="L63" s="43" t="str">
        <x:v>Single Slit Diffraction • Wave Lab • Young's Double Slit • Polarization Lab</x:v>
      </x:c>
      <x:c r="M63" s="43" t="str">
        <x:v>76 • 79 • 80 • 75</x:v>
      </x:c>
      <x:c r="N63" s="43" t="str">
        <x:v>single-slit-diffraction • wave-lab • young-double-slit • polarization-lab</x:v>
      </x:c>
      <x:c r="O63" s="43" t="str">
        <x:v>CBSE Physics 042 2026-27</x:v>
      </x:c>
      <x:c r="P63" s="43" t="str">
        <x:v>Electricity, magnetism, optics, modern physics, nuclei, and semiconductor electronics.</x:v>
      </x:c>
    </x:row>
    <x:row r="64">
      <x:c r="A64" s="43" t="str">
        <x:v>Mechanics</x:v>
      </x:c>
      <x:c r="B64" s="43" t="str">
        <x:v>Core Physics</x:v>
      </x:c>
      <x:c r="C64" s="43" t="str">
        <x:v>Analytical Mechanics</x:v>
      </x:c>
      <x:c r="D64" s="43" t="str">
        <x:v>ug-classical-mechanics</x:v>
      </x:c>
      <x:c r="E64" s="43" t="str">
        <x:v>Undergraduate</x:v>
      </x:c>
      <x:c r="F64" s="44" t="n">
        <x:v>13</x:v>
      </x:c>
      <x:c r="G64" s="44" t="str">
        <x:v>ug-core</x:v>
      </x:c>
      <x:c r="H64" s="44"/>
      <x:c r="I64" s="43" t="str">
        <x:v>experiment</x:v>
      </x:c>
      <x:c r="J64" s="43" t="str">
        <x:v>Model Lagrangian ideas, constraints, oscillations, and central forces.</x:v>
      </x:c>
      <x:c r="K64" s="43" t="str">
        <x:v>Phase plot • Pendulum • Orbit</x:v>
      </x:c>
      <x:c r="L64" s="43" t="str">
        <x:v>Simple Pendulum • Satellite Orbit and Escape Speed • Rotational Dynamics</x:v>
      </x:c>
      <x:c r="M64" s="43" t="str">
        <x:v>44 • 1 • 43</x:v>
      </x:c>
      <x:c r="N64" s="43" t="str">
        <x:v>simple-pendulum • satellite-orbit • rotational-dynamics</x:v>
      </x:c>
      <x:c r="O64" s="43" t="str">
        <x:v>BSc / engineering physics bridge</x:v>
      </x:c>
      <x:c r="P64" s="43" t="str">
        <x:v>Core college physics as compact modules with room for deeper simulations.</x:v>
      </x:c>
    </x:row>
    <x:row r="65">
      <x:c r="A65" s="43" t="str">
        <x:v>Electricity</x:v>
      </x:c>
      <x:c r="B65" s="43" t="str">
        <x:v>Core Physics</x:v>
      </x:c>
      <x:c r="C65" s="43" t="str">
        <x:v>Electrodynamics</x:v>
      </x:c>
      <x:c r="D65" s="43" t="str">
        <x:v>ug-electrodynamics</x:v>
      </x:c>
      <x:c r="E65" s="43" t="str">
        <x:v>Undergraduate</x:v>
      </x:c>
      <x:c r="F65" s="44" t="n">
        <x:v>13</x:v>
      </x:c>
      <x:c r="G65" s="44" t="str">
        <x:v>ug-core</x:v>
      </x:c>
      <x:c r="H65" s="44"/>
      <x:c r="I65" s="43" t="str">
        <x:v>experiment</x:v>
      </x:c>
      <x:c r="J65" s="43" t="str">
        <x:v>Connect fields, potentials, induction, waves, and circuits.</x:v>
      </x:c>
      <x:c r="K65" s="43" t="str">
        <x:v>Field map • Coil • AC source</x:v>
      </x:c>
      <x:c r="L65" s="43" t="str">
        <x:v>Electrostatic Field and Potential • Faraday Induction • AC LCR Resonance</x:v>
      </x:c>
      <x:c r="M65" s="43" t="str">
        <x:v>9 • 10 • 4</x:v>
      </x:c>
      <x:c r="N65" s="43" t="str">
        <x:v>electrostatic-field-potential • emi-faraday • ac-lcr-resonance</x:v>
      </x:c>
      <x:c r="O65" s="43" t="str">
        <x:v>BSc / engineering physics bridge</x:v>
      </x:c>
      <x:c r="P65" s="43" t="str">
        <x:v>Core college physics as compact modules with room for deeper simulations.</x:v>
      </x:c>
    </x:row>
    <x:row r="66">
      <x:c r="A66" s="43" t="str">
        <x:v>Waves</x:v>
      </x:c>
      <x:c r="B66" s="43" t="str">
        <x:v>Core Physics</x:v>
      </x:c>
      <x:c r="C66" s="43" t="str">
        <x:v>Optics and Waves</x:v>
      </x:c>
      <x:c r="D66" s="43" t="str">
        <x:v>ug-optics-waves</x:v>
      </x:c>
      <x:c r="E66" s="43" t="str">
        <x:v>Undergraduate</x:v>
      </x:c>
      <x:c r="F66" s="44" t="n">
        <x:v>13</x:v>
      </x:c>
      <x:c r="G66" s="44" t="str">
        <x:v>ug-core</x:v>
      </x:c>
      <x:c r="H66" s="44"/>
      <x:c r="I66" s="43" t="str">
        <x:v>experiment</x:v>
      </x:c>
      <x:c r="J66" s="43" t="str">
        <x:v>Compare interference, diffraction, polarization, and wave packets.</x:v>
      </x:c>
      <x:c r="K66" s="43" t="str">
        <x:v>Slits • Polarizer • Spectrum</x:v>
      </x:c>
      <x:c r="L66" s="43" t="str">
        <x:v>Young's Double Slit • Single Slit Diffraction • Polarization Lab</x:v>
      </x:c>
      <x:c r="M66" s="43" t="str">
        <x:v>80 • 76 • 75</x:v>
      </x:c>
      <x:c r="N66" s="43" t="str">
        <x:v>young-double-slit • single-slit-diffraction • polarization-lab</x:v>
      </x:c>
      <x:c r="O66" s="43" t="str">
        <x:v>BSc / engineering physics bridge</x:v>
      </x:c>
      <x:c r="P66" s="43" t="str">
        <x:v>Core college physics as compact modules with room for deeper simulations.</x:v>
      </x:c>
    </x:row>
    <x:row r="67">
      <x:c r="A67" s="43" t="str">
        <x:v>Modern Physics</x:v>
      </x:c>
      <x:c r="B67" s="43" t="str">
        <x:v>Core Physics</x:v>
      </x:c>
      <x:c r="C67" s="43" t="str">
        <x:v>Quantum Mechanics</x:v>
      </x:c>
      <x:c r="D67" s="43" t="str">
        <x:v>ug-quantum</x:v>
      </x:c>
      <x:c r="E67" s="43" t="str">
        <x:v>Undergraduate</x:v>
      </x:c>
      <x:c r="F67" s="44" t="n">
        <x:v>13</x:v>
      </x:c>
      <x:c r="G67" s="44" t="str">
        <x:v>ug-core</x:v>
      </x:c>
      <x:c r="H67" s="44"/>
      <x:c r="I67" s="43" t="str">
        <x:v>experiment</x:v>
      </x:c>
      <x:c r="J67" s="43" t="str">
        <x:v>Explore wave-particle duality, wells, tunneling, and atomic spectra.</x:v>
      </x:c>
      <x:c r="K67" s="43" t="str">
        <x:v>Wave packet • Barrier • Bohr model</x:v>
      </x:c>
      <x:c r="L67" s="43" t="str">
        <x:v>Photoelectric Equation • de Broglie Wavelength • Bohr Atom Transitions</x:v>
      </x:c>
      <x:c r="M67" s="43" t="str">
        <x:v>52 • 50 • 49</x:v>
      </x:c>
      <x:c r="N67" s="43" t="str">
        <x:v>photoelectric-equation • de-broglie-wavelength • bohr-model</x:v>
      </x:c>
      <x:c r="O67" s="43" t="str">
        <x:v>BSc / engineering physics bridge</x:v>
      </x:c>
      <x:c r="P67" s="43" t="str">
        <x:v>Core college physics as compact modules with room for deeper simulations.</x:v>
      </x:c>
    </x:row>
    <x:row r="68">
      <x:c r="A68" s="43" t="str">
        <x:v>Thermodynamics</x:v>
      </x:c>
      <x:c r="B68" s="43" t="str">
        <x:v>Core Physics</x:v>
      </x:c>
      <x:c r="C68" s="43" t="str">
        <x:v>Statistical and Thermal Physics</x:v>
      </x:c>
      <x:c r="D68" s="43" t="str">
        <x:v>ug-stat-thermal</x:v>
      </x:c>
      <x:c r="E68" s="43" t="str">
        <x:v>Undergraduate</x:v>
      </x:c>
      <x:c r="F68" s="44" t="n">
        <x:v>13</x:v>
      </x:c>
      <x:c r="G68" s="44" t="str">
        <x:v>ug-core</x:v>
      </x:c>
      <x:c r="H68" s="44"/>
      <x:c r="I68" s="43" t="str">
        <x:v>experiment</x:v>
      </x:c>
      <x:c r="J68" s="43" t="str">
        <x:v>Connect microscopic states to temperature, pressure, entropy, and heat flow.</x:v>
      </x:c>
      <x:c r="K68" s="43" t="str">
        <x:v>Gas particles • PV graph</x:v>
      </x:c>
      <x:c r="L68" s="43" t="str">
        <x:v>Gas Laws and Kinetic Theory • Thermodynamic Processes • Heat Transfer</x:v>
      </x:c>
      <x:c r="M68" s="43" t="str">
        <x:v>66 • 70 • 68</x:v>
      </x:c>
      <x:c r="N68" s="43" t="str">
        <x:v>gas-laws • thermodynamic-process • heat-transfer</x:v>
      </x:c>
      <x:c r="O68" s="43" t="str">
        <x:v>BSc / engineering physics bridge</x:v>
      </x:c>
      <x:c r="P68" s="43" t="str">
        <x:v>Core college physics as compact modules with room for deeper simulations.</x:v>
      </x:c>
    </x:row>
    <x:row r="69">
      <x:c r="A69" s="43" t="str">
        <x:v>Modern Physics</x:v>
      </x:c>
      <x:c r="B69" s="43" t="str">
        <x:v>Advanced Physics</x:v>
      </x:c>
      <x:c r="C69" s="43" t="str">
        <x:v>Advanced Quantum Mechanics</x:v>
      </x:c>
      <x:c r="D69" s="43" t="str">
        <x:v>pg-advanced-quantum</x:v>
      </x:c>
      <x:c r="E69" s="43" t="str">
        <x:v>Postgraduate</x:v>
      </x:c>
      <x:c r="F69" s="44" t="n">
        <x:v>14</x:v>
      </x:c>
      <x:c r="G69" s="44" t="str">
        <x:v>pg-advanced</x:v>
      </x:c>
      <x:c r="H69" s="44"/>
      <x:c r="I69" s="43" t="str">
        <x:v>experiment</x:v>
      </x:c>
      <x:c r="J69" s="43" t="str">
        <x:v>Cover operators, spin, perturbation, scattering, and identical particles.</x:v>
      </x:c>
      <x:c r="K69" s="43" t="str">
        <x:v>Operator lab • Spin view • Scattering plot</x:v>
      </x:c>
      <x:c r="L69" s="43" t="str">
        <x:v>Advanced Quantum Operators</x:v>
      </x:c>
      <x:c r="M69" s="43" t="str">
        <x:v>48</x:v>
      </x:c>
      <x:c r="N69" s="43" t="str">
        <x:v>advanced-quantum-operators</x:v>
      </x:c>
      <x:c r="O69" s="43" t="str">
        <x:v>MSc physics overview</x:v>
      </x:c>
      <x:c r="P69" s="43" t="str">
        <x:v>Graduate topics grouped for targeted expansion without overloading the app.</x:v>
      </x:c>
    </x:row>
    <x:row r="70">
      <x:c r="A70" s="43" t="str">
        <x:v>Electronics</x:v>
      </x:c>
      <x:c r="B70" s="43" t="str">
        <x:v>Advanced Physics</x:v>
      </x:c>
      <x:c r="C70" s="43" t="str">
        <x:v>Condensed Matter</x:v>
      </x:c>
      <x:c r="D70" s="43" t="str">
        <x:v>pg-condensed-matter</x:v>
      </x:c>
      <x:c r="E70" s="43" t="str">
        <x:v>Postgraduate</x:v>
      </x:c>
      <x:c r="F70" s="44" t="n">
        <x:v>14</x:v>
      </x:c>
      <x:c r="G70" s="44" t="str">
        <x:v>pg-advanced</x:v>
      </x:c>
      <x:c r="H70" s="44"/>
      <x:c r="I70" s="43" t="str">
        <x:v>experiment</x:v>
      </x:c>
      <x:c r="J70" s="43" t="str">
        <x:v>Model bands, lattices, phonons, and semiconductors.</x:v>
      </x:c>
      <x:c r="K70" s="43" t="str">
        <x:v>Band diagram • Lattice model</x:v>
      </x:c>
      <x:c r="L70" s="43" t="str">
        <x:v>Semiconductor Diode and Rectifier • Logic Gates</x:v>
      </x:c>
      <x:c r="M70" s="43" t="str">
        <x:v>19 • 18</x:v>
      </x:c>
      <x:c r="N70" s="43" t="str">
        <x:v>semiconductor-diode • logic-gates</x:v>
      </x:c>
      <x:c r="O70" s="43" t="str">
        <x:v>MSc physics overview</x:v>
      </x:c>
      <x:c r="P70" s="43" t="str">
        <x:v>Graduate topics grouped for targeted expansion without overloading the app.</x:v>
      </x:c>
    </x:row>
    <x:row r="71">
      <x:c r="A71" s="43" t="str">
        <x:v>Modern Physics</x:v>
      </x:c>
      <x:c r="B71" s="43" t="str">
        <x:v>Advanced Physics</x:v>
      </x:c>
      <x:c r="C71" s="43" t="str">
        <x:v>Nuclear and Particle Physics</x:v>
      </x:c>
      <x:c r="D71" s="43" t="str">
        <x:v>pg-nuclear-particle</x:v>
      </x:c>
      <x:c r="E71" s="43" t="str">
        <x:v>Postgraduate</x:v>
      </x:c>
      <x:c r="F71" s="44" t="n">
        <x:v>14</x:v>
      </x:c>
      <x:c r="G71" s="44" t="str">
        <x:v>pg-advanced</x:v>
      </x:c>
      <x:c r="H71" s="44"/>
      <x:c r="I71" s="43" t="str">
        <x:v>experiment</x:v>
      </x:c>
      <x:c r="J71" s="43" t="str">
        <x:v>Explore decay, scattering, detectors, and conservation laws.</x:v>
      </x:c>
      <x:c r="K71" s="43" t="str">
        <x:v>Decay chart • Detector view</x:v>
      </x:c>
      <x:c r="L71" s="43" t="str">
        <x:v>Nuclear Decay and Half-Life</x:v>
      </x:c>
      <x:c r="M71" s="43" t="str">
        <x:v>51</x:v>
      </x:c>
      <x:c r="N71" s="43" t="str">
        <x:v>nuclear-decay</x:v>
      </x:c>
      <x:c r="O71" s="43" t="str">
        <x:v>MSc physics overview</x:v>
      </x:c>
      <x:c r="P71" s="43" t="str">
        <x:v>Graduate topics grouped for targeted expansion without overloading the app.</x:v>
      </x:c>
    </x:row>
    <x:row r="72">
      <x:c r="A72" s="43" t="str">
        <x:v>Astronomy</x:v>
      </x:c>
      <x:c r="B72" s="43" t="str">
        <x:v>Advanced Physics</x:v>
      </x:c>
      <x:c r="C72" s="43" t="str">
        <x:v>Plasma and Astrophysics</x:v>
      </x:c>
      <x:c r="D72" s="43" t="str">
        <x:v>pg-plasma-astrophysics</x:v>
      </x:c>
      <x:c r="E72" s="43" t="str">
        <x:v>Postgraduate</x:v>
      </x:c>
      <x:c r="F72" s="44" t="n">
        <x:v>14</x:v>
      </x:c>
      <x:c r="G72" s="44" t="str">
        <x:v>pg-advanced</x:v>
      </x:c>
      <x:c r="H72" s="44"/>
      <x:c r="I72" s="43" t="str">
        <x:v>experiment</x:v>
      </x:c>
      <x:c r="J72" s="43" t="str">
        <x:v>Link charged fluids, stars, compact objects, and cosmology.</x:v>
      </x:c>
      <x:c r="K72" s="43" t="str">
        <x:v>Orbit view • Spectrum</x:v>
      </x:c>
      <x:c r="L72" s="43" t="str">
        <x:v>Satellite Orbit and Escape Speed • Electromagnetic Spectrum</x:v>
      </x:c>
      <x:c r="M72" s="43" t="str">
        <x:v>1 • 73</x:v>
      </x:c>
      <x:c r="N72" s="43" t="str">
        <x:v>satellite-orbit • em-spectrum</x:v>
      </x:c>
      <x:c r="O72" s="43" t="str">
        <x:v>MSc physics overview</x:v>
      </x:c>
      <x:c r="P72" s="43" t="str">
        <x:v>Graduate topics grouped for targeted expansion without overloading the app.</x:v>
      </x:c>
    </x:row>
    <x:row r="73">
      <x:c r="A73" s="43" t="str">
        <x:v>Thermodynamics</x:v>
      </x:c>
      <x:c r="B73" s="43" t="str">
        <x:v>Advanced Physics</x:v>
      </x:c>
      <x:c r="C73" s="43" t="str">
        <x:v>Statistical Mechanics</x:v>
      </x:c>
      <x:c r="D73" s="43" t="str">
        <x:v>pg-statistical-field</x:v>
      </x:c>
      <x:c r="E73" s="43" t="str">
        <x:v>Postgraduate</x:v>
      </x:c>
      <x:c r="F73" s="44" t="n">
        <x:v>14</x:v>
      </x:c>
      <x:c r="G73" s="44" t="str">
        <x:v>pg-advanced</x:v>
      </x:c>
      <x:c r="H73" s="44"/>
      <x:c r="I73" s="43" t="str">
        <x:v>experiment</x:v>
      </x:c>
      <x:c r="J73" s="43" t="str">
        <x:v>Compare ensembles, phase transitions, and transport.</x:v>
      </x:c>
      <x:c r="K73" s="43" t="str">
        <x:v>Ensemble view • Phase map</x:v>
      </x:c>
      <x:c r="L73" s="43" t="str">
        <x:v>Statistical Ensemble Lab</x:v>
      </x:c>
      <x:c r="M73" s="43" t="str">
        <x:v>69</x:v>
      </x:c>
      <x:c r="N73" s="43" t="str">
        <x:v>statistical-ensemble-lab</x:v>
      </x:c>
      <x:c r="O73" s="43" t="str">
        <x:v>MSc physics overview</x:v>
      </x:c>
      <x:c r="P73" s="43" t="str">
        <x:v>Graduate topics grouped for targeted expansion without overloading the app.</x:v>
      </x:c>
    </x:row>
    <x:row r="74">
      <x:c r="A74" s="43" t="str">
        <x:v>Mechanics</x:v>
      </x:c>
      <x:c r="B74" s="43" t="str">
        <x:v>Research Lanes</x:v>
      </x:c>
      <x:c r="C74" s="43" t="str">
        <x:v>Biophysics and Complex Systems</x:v>
      </x:c>
      <x:c r="D74" s="43" t="str">
        <x:v>phd-biophysics-complexity</x:v>
      </x:c>
      <x:c r="E74" s="43" t="str">
        <x:v>PhD</x:v>
      </x:c>
      <x:c r="F74" s="44" t="n">
        <x:v>15</x:v>
      </x:c>
      <x:c r="G74" s="44" t="str">
        <x:v>phd-research-lanes</x:v>
      </x:c>
      <x:c r="H74" s="44"/>
      <x:c r="I74" s="43" t="str">
        <x:v>experiment</x:v>
      </x:c>
      <x:c r="J74" s="43" t="str">
        <x:v>Use physics tools on nonlinear, living, and networked systems.</x:v>
      </x:c>
      <x:c r="K74" s="43" t="str">
        <x:v>Chaos view • Phase graph</x:v>
      </x:c>
      <x:c r="L74" s="43" t="str">
        <x:v>Simple Pendulum • Gas Laws and Kinetic Theory</x:v>
      </x:c>
      <x:c r="M74" s="43" t="str">
        <x:v>44 • 66</x:v>
      </x:c>
      <x:c r="N74" s="43" t="str">
        <x:v>simple-pendulum • gas-laws</x:v>
      </x:c>
      <x:c r="O74" s="43" t="str">
        <x:v>Research-level physics map</x:v>
      </x:c>
      <x:c r="P74" s="43" t="str">
        <x:v>Research directions shown as lightweight lanes, not textbook chapters.</x:v>
      </x:c>
    </x:row>
    <x:row r="75">
      <x:c r="A75" s="43" t="str">
        <x:v>Measurement</x:v>
      </x:c>
      <x:c r="B75" s="43" t="str">
        <x:v>Research Lanes</x:v>
      </x:c>
      <x:c r="C75" s="43" t="str">
        <x:v>Computational Physics</x:v>
      </x:c>
      <x:c r="D75" s="43" t="str">
        <x:v>phd-computation</x:v>
      </x:c>
      <x:c r="E75" s="43" t="str">
        <x:v>PhD</x:v>
      </x:c>
      <x:c r="F75" s="44" t="n">
        <x:v>15</x:v>
      </x:c>
      <x:c r="G75" s="44" t="str">
        <x:v>phd-research-lanes</x:v>
      </x:c>
      <x:c r="H75" s="44"/>
      <x:c r="I75" s="43" t="str">
        <x:v>experiment</x:v>
      </x:c>
      <x:c r="J75" s="43" t="str">
        <x:v>Run numerical models, uncertainty checks, and reproducible workflows.</x:v>
      </x:c>
      <x:c r="K75" s="43" t="str">
        <x:v>Solver • Graph plotter • Notebook</x:v>
      </x:c>
      <x:c r="L75" s="43" t="str">
        <x:v>Computational Physics Workflow</x:v>
      </x:c>
      <x:c r="M75" s="43" t="str">
        <x:v>29</x:v>
      </x:c>
      <x:c r="N75" s="43" t="str">
        <x:v>computational-physics-workflow</x:v>
      </x:c>
      <x:c r="O75" s="43" t="str">
        <x:v>Research-level physics map</x:v>
      </x:c>
      <x:c r="P75" s="43" t="str">
        <x:v>Research directions shown as lightweight lanes, not textbook chapters.</x:v>
      </x:c>
    </x:row>
    <x:row r="76">
      <x:c r="A76" s="43" t="str">
        <x:v>Astronomy</x:v>
      </x:c>
      <x:c r="B76" s="43" t="str">
        <x:v>Research Lanes</x:v>
      </x:c>
      <x:c r="C76" s="43" t="str">
        <x:v>High Energy and Cosmology</x:v>
      </x:c>
      <x:c r="D76" s="43" t="str">
        <x:v>phd-high-energy</x:v>
      </x:c>
      <x:c r="E76" s="43" t="str">
        <x:v>PhD</x:v>
      </x:c>
      <x:c r="F76" s="44" t="n">
        <x:v>15</x:v>
      </x:c>
      <x:c r="G76" s="44" t="str">
        <x:v>phd-research-lanes</x:v>
      </x:c>
      <x:c r="H76" s="44"/>
      <x:c r="I76" s="43" t="str">
        <x:v>experiment</x:v>
      </x:c>
      <x:c r="J76" s="43" t="str">
        <x:v>Track symmetry, detectors, spacetime, and early-universe models.</x:v>
      </x:c>
      <x:c r="K76" s="43" t="str">
        <x:v>Detector view • Orbit view</x:v>
      </x:c>
      <x:c r="L76" s="43" t="str">
        <x:v>Nuclear Decay and Half-Life • Satellite Orbit and Escape Speed</x:v>
      </x:c>
      <x:c r="M76" s="43" t="str">
        <x:v>51 • 1</x:v>
      </x:c>
      <x:c r="N76" s="43" t="str">
        <x:v>nuclear-decay • satellite-orbit</x:v>
      </x:c>
      <x:c r="O76" s="43" t="str">
        <x:v>Research-level physics map</x:v>
      </x:c>
      <x:c r="P76" s="43" t="str">
        <x:v>Research directions shown as lightweight lanes, not textbook chapters.</x:v>
      </x:c>
    </x:row>
    <x:row r="77">
      <x:c r="A77" s="43" t="str">
        <x:v>Electronics</x:v>
      </x:c>
      <x:c r="B77" s="43" t="str">
        <x:v>Research Lanes</x:v>
      </x:c>
      <x:c r="C77" s="43" t="str">
        <x:v>Materials and Devices</x:v>
      </x:c>
      <x:c r="D77" s="43" t="str">
        <x:v>phd-materials-devices</x:v>
      </x:c>
      <x:c r="E77" s="43" t="str">
        <x:v>PhD</x:v>
      </x:c>
      <x:c r="F77" s="44" t="n">
        <x:v>15</x:v>
      </x:c>
      <x:c r="G77" s="44" t="str">
        <x:v>phd-research-lanes</x:v>
      </x:c>
      <x:c r="H77" s="44"/>
      <x:c r="I77" s="43" t="str">
        <x:v>experiment</x:v>
      </x:c>
      <x:c r="J77" s="43" t="str">
        <x:v>Connect nanoscale structure to transport and device behavior.</x:v>
      </x:c>
      <x:c r="K77" s="43" t="str">
        <x:v>Band model • Device lab</x:v>
      </x:c>
      <x:c r="L77" s="43" t="str">
        <x:v>Semiconductor Diode and Rectifier</x:v>
      </x:c>
      <x:c r="M77" s="43" t="str">
        <x:v>19</x:v>
      </x:c>
      <x:c r="N77" s="43" t="str">
        <x:v>semiconductor-diode</x:v>
      </x:c>
      <x:c r="O77" s="43" t="str">
        <x:v>Research-level physics map</x:v>
      </x:c>
      <x:c r="P77" s="43" t="str">
        <x:v>Research directions shown as lightweight lanes, not textbook chapters.</x:v>
      </x:c>
    </x:row>
    <x:row r="78">
      <x:c r="A78" s="43" t="str">
        <x:v>Modern Physics</x:v>
      </x:c>
      <x:c r="B78" s="43" t="str">
        <x:v>Research Lanes</x:v>
      </x:c>
      <x:c r="C78" s="43" t="str">
        <x:v>Quantum Information</x:v>
      </x:c>
      <x:c r="D78" s="43" t="str">
        <x:v>phd-quantum-info</x:v>
      </x:c>
      <x:c r="E78" s="43" t="str">
        <x:v>PhD</x:v>
      </x:c>
      <x:c r="F78" s="44" t="n">
        <x:v>15</x:v>
      </x:c>
      <x:c r="G78" s="44" t="str">
        <x:v>phd-research-lanes</x:v>
      </x:c>
      <x:c r="H78" s="44"/>
      <x:c r="I78" s="43" t="str">
        <x:v>experiment</x:v>
      </x:c>
      <x:c r="J78" s="43" t="str">
        <x:v>Explore qubits, gates, entanglement, and measurement.</x:v>
      </x:c>
      <x:c r="K78" s="43" t="str">
        <x:v>Bloch sphere • Logic gates</x:v>
      </x:c>
      <x:c r="L78" s="43" t="str">
        <x:v>Logic Gates • Bohr Atom Transitions</x:v>
      </x:c>
      <x:c r="M78" s="43" t="str">
        <x:v>18 • 49</x:v>
      </x:c>
      <x:c r="N78" s="43" t="str">
        <x:v>logic-gates • bohr-model</x:v>
      </x:c>
      <x:c r="O78" s="43" t="str">
        <x:v>Research-level physics map</x:v>
      </x:c>
      <x:c r="P78" s="43" t="str">
        <x:v>Research directions shown as lightweight lanes, not textbook chapters.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6246ed79d57443f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30" hidden="0" customWidth="1"/>
    <x:col min="4" max="4" width="30" hidden="0" customWidth="1"/>
    <x:col min="5" max="5" width="30" hidden="0" customWidth="1"/>
    <x:col min="6" max="6" width="16" hidden="0" customWidth="1"/>
    <x:col min="7" max="7" width="9" hidden="0" customWidth="1"/>
    <x:col min="8" max="8" width="15" hidden="0" customWidth="1"/>
    <x:col min="9" max="9" width="12" hidden="0" customWidth="1"/>
    <x:col min="10" max="10" width="27" hidden="0" customWidth="1"/>
    <x:col min="11" max="11" width="25" hidden="0" customWidth="1"/>
    <x:col min="12" max="12" width="28" hidden="0" customWidth="1"/>
    <x:col min="13" max="13" width="11" hidden="0" customWidth="1"/>
    <x:col min="14" max="14" width="22" hidden="0" customWidth="1"/>
    <x:col min="15" max="15" width="50" hidden="0" customWidth="1"/>
  </x:cols>
  <x:sheetData>
    <x:row r="1" ht="32" customHeight="1">
      <x:c r="A1" s="32" t="str">
        <x:v>Lesson-Topic Map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</x:row>
    <x:row r="2" ht="30" customHeight="1">
      <x:c r="A2" s="33" t="str">
        <x:v>Extracted from the Physics Simulator curriculum, experiment, and Learning Studio registries.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</x:row>
    <x:row r="4" ht="34" customHeight="1">
      <x:c r="A4" s="41" t="str">
        <x:v>Lesson ID</x:v>
      </x:c>
      <x:c r="B4" s="41" t="str">
        <x:v>Category</x:v>
      </x:c>
      <x:c r="C4" s="41" t="str">
        <x:v>Subcategory / Unit</x:v>
      </x:c>
      <x:c r="D4" s="41" t="str">
        <x:v>Topic</x:v>
      </x:c>
      <x:c r="E4" s="41" t="str">
        <x:v>Lesson</x:v>
      </x:c>
      <x:c r="F4" s="41" t="str">
        <x:v>Class</x:v>
      </x:c>
      <x:c r="G4" s="41" t="str">
        <x:v>Grade</x:v>
      </x:c>
      <x:c r="H4" s="41" t="str">
        <x:v>Learning Stage</x:v>
      </x:c>
      <x:c r="I4" s="41" t="str">
        <x:v>Difficulty</x:v>
      </x:c>
      <x:c r="J4" s="41" t="str">
        <x:v>Lesson Code</x:v>
      </x:c>
      <x:c r="K4" s="41" t="str">
        <x:v>Topic ID</x:v>
      </x:c>
      <x:c r="L4" s="41" t="str">
        <x:v>Unit ID</x:v>
      </x:c>
      <x:c r="M4" s="41" t="str">
        <x:v>Readiness</x:v>
      </x:c>
      <x:c r="N4" s="41" t="str">
        <x:v>Priority</x:v>
      </x:c>
      <x:c r="O4" s="41" t="str">
        <x:v>Outcome(s)</x:v>
      </x:c>
    </x:row>
    <x:row r="5">
      <x:c r="A5" s="42" t="n">
        <x:v>14</x:v>
      </x:c>
      <x:c r="B5" s="43" t="str">
        <x:v>Electricity</x:v>
      </x:c>
      <x:c r="C5" s="43" t="str">
        <x:v>Light, Motion, Electricity</x:v>
      </x:c>
      <x:c r="D5" s="43" t="str">
        <x:v>Simple Electric Circuits</x:v>
      </x:c>
      <x:c r="E5" s="43" t="str">
        <x:v>Ohm's Law V-I Graph</x:v>
      </x:c>
      <x:c r="F5" s="43" t="str">
        <x:v>Class 6</x:v>
      </x:c>
      <x:c r="G5" s="43" t="n">
        <x:v>6</x:v>
      </x:c>
      <x:c r="H5" s="43" t="str">
        <x:v>experiment</x:v>
      </x:c>
      <x:c r="I5" s="43" t="str">
        <x:v>Beginner</x:v>
      </x:c>
      <x:c r="J5" s="43" t="str">
        <x:v>ohms-law</x:v>
      </x:c>
      <x:c r="K5" s="43" t="str">
        <x:v>c6-simple-circuits</x:v>
      </x:c>
      <x:c r="L5" s="43" t="str">
        <x:v>c6-light-motion-electricity</x:v>
      </x:c>
      <x:c r="M5" s="42" t="n">
        <x:v>95</x:v>
      </x:c>
      <x:c r="N5" s="43" t="str">
        <x:v>Misconception repair</x:v>
      </x:c>
      <x:c r="O5" s="43" t="str">
        <x:v>Build a closed circuit and explain why a bulb glows.</x:v>
      </x:c>
    </x:row>
    <x:row r="6">
      <x:c r="A6" s="42" t="n">
        <x:v>28</x:v>
      </x:c>
      <x:c r="B6" s="43" t="str">
        <x:v>Magnetism</x:v>
      </x:c>
      <x:c r="C6" s="43" t="str">
        <x:v>Light, Motion, Electricity</x:v>
      </x:c>
      <x:c r="D6" s="43" t="str">
        <x:v>Magnets</x:v>
      </x:c>
      <x:c r="E6" s="43" t="str">
        <x:v>Magnetic Field Around Current</x:v>
      </x:c>
      <x:c r="F6" s="43" t="str">
        <x:v>Class 6</x:v>
      </x:c>
      <x:c r="G6" s="43" t="n">
        <x:v>6</x:v>
      </x:c>
      <x:c r="H6" s="43" t="str">
        <x:v>experiment</x:v>
      </x:c>
      <x:c r="I6" s="43" t="str">
        <x:v>Intermediate</x:v>
      </x:c>
      <x:c r="J6" s="43" t="str">
        <x:v>magnetic-field-current</x:v>
      </x:c>
      <x:c r="K6" s="43" t="str">
        <x:v>c6-magnets</x:v>
      </x:c>
      <x:c r="L6" s="43" t="str">
        <x:v>c6-light-motion-electricity</x:v>
      </x:c>
      <x:c r="M6" s="42" t="n">
        <x:v>89</x:v>
      </x:c>
      <x:c r="N6" s="43" t="str">
        <x:v>Misconception repair</x:v>
      </x:c>
      <x:c r="O6" s="43" t="str">
        <x:v>Compare poles, attraction, repulsion, and compass direction.</x:v>
      </x:c>
    </x:row>
    <x:row r="7">
      <x:c r="A7" s="42" t="n">
        <x:v>30</x:v>
      </x:c>
      <x:c r="B7" s="43" t="str">
        <x:v>Measurement</x:v>
      </x:c>
      <x:c r="C7" s="43" t="str">
        <x:v>Light, Motion, Electricity</x:v>
      </x:c>
      <x:c r="D7" s="43" t="str">
        <x:v>Motion and Measurement</x:v>
      </x:c>
      <x:c r="E7" s="43" t="str">
        <x:v>Measurement, Error, and Significant Figures</x:v>
      </x:c>
      <x:c r="F7" s="43" t="str">
        <x:v>Class 6</x:v>
      </x:c>
      <x:c r="G7" s="43" t="n">
        <x:v>6</x:v>
      </x:c>
      <x:c r="H7" s="43" t="str">
        <x:v>experiment</x:v>
      </x:c>
      <x:c r="I7" s="43" t="str">
        <x:v>Beginner</x:v>
      </x:c>
      <x:c r="J7" s="43" t="str">
        <x:v>measurement-errors</x:v>
      </x:c>
      <x:c r="K7" s="43" t="str">
        <x:v>c6-motion-measurement</x:v>
      </x:c>
      <x:c r="L7" s="43" t="str">
        <x:v>c6-light-motion-electricity</x:v>
      </x:c>
      <x:c r="M7" s="42" t="n">
        <x:v>86</x:v>
      </x:c>
      <x:c r="N7" s="43" t="str">
        <x:v>Misconception repair</x:v>
      </x:c>
      <x:c r="O7" s="43" t="str">
        <x:v>Measure length and time, then compare slow and fast motion.</x:v>
      </x:c>
    </x:row>
    <x:row r="8">
      <x:c r="A8" s="42" t="n">
        <x:v>45</x:v>
      </x:c>
      <x:c r="B8" s="43" t="str">
        <x:v>Mechanics</x:v>
      </x:c>
      <x:c r="C8" s="43" t="str">
        <x:v>Light, Motion, Electricity</x:v>
      </x:c>
      <x:c r="D8" s="43" t="str">
        <x:v>Motion and Measurement</x:v>
      </x:c>
      <x:c r="E8" s="43" t="str">
        <x:v>Uniform Motion</x:v>
      </x:c>
      <x:c r="F8" s="43" t="str">
        <x:v>Class 6</x:v>
      </x:c>
      <x:c r="G8" s="43" t="n">
        <x:v>6</x:v>
      </x:c>
      <x:c r="H8" s="43" t="str">
        <x:v>experiment</x:v>
      </x:c>
      <x:c r="I8" s="43" t="str">
        <x:v>Beginner</x:v>
      </x:c>
      <x:c r="J8" s="43" t="str">
        <x:v>uniform-motion</x:v>
      </x:c>
      <x:c r="K8" s="43" t="str">
        <x:v>c6-motion-measurement</x:v>
      </x:c>
      <x:c r="L8" s="43" t="str">
        <x:v>c6-light-motion-electricity</x:v>
      </x:c>
      <x:c r="M8" s="42" t="n">
        <x:v>90</x:v>
      </x:c>
      <x:c r="N8" s="43" t="str">
        <x:v>Misconception repair</x:v>
      </x:c>
      <x:c r="O8" s="43" t="str">
        <x:v>Measure length and time, then compare slow and fast motion.</x:v>
      </x:c>
    </x:row>
    <x:row r="9">
      <x:c r="A9" s="42" t="n">
        <x:v>61</x:v>
      </x:c>
      <x:c r="B9" s="43" t="str">
        <x:v>Optics</x:v>
      </x:c>
      <x:c r="C9" s="43" t="str">
        <x:v>Light, Motion, Electricity</x:v>
      </x:c>
      <x:c r="D9" s="43" t="str">
        <x:v>Light, Shadows, and Reflection</x:v>
      </x:c>
      <x:c r="E9" s="43" t="str">
        <x:v>Reflection by Plane Mirror</x:v>
      </x:c>
      <x:c r="F9" s="43" t="str">
        <x:v>Class 6</x:v>
      </x:c>
      <x:c r="G9" s="43" t="n">
        <x:v>6</x:v>
      </x:c>
      <x:c r="H9" s="43" t="str">
        <x:v>experiment</x:v>
      </x:c>
      <x:c r="I9" s="43" t="str">
        <x:v>Beginner</x:v>
      </x:c>
      <x:c r="J9" s="43" t="str">
        <x:v>reflection-plane-mirror</x:v>
      </x:c>
      <x:c r="K9" s="43" t="str">
        <x:v>c6-light-shadows</x:v>
      </x:c>
      <x:c r="L9" s="43" t="str">
        <x:v>c6-light-motion-electricity</x:v>
      </x:c>
      <x:c r="M9" s="42" t="n">
        <x:v>86</x:v>
      </x:c>
      <x:c r="N9" s="43" t="str">
        <x:v>Misconception repair</x:v>
      </x:c>
      <x:c r="O9" s="43" t="str">
        <x:v>Identify sources, shadows, and simple reflection.</x:v>
      </x:c>
    </x:row>
    <x:row r="10">
      <x:c r="A10" s="42" t="n">
        <x:v>62</x:v>
      </x:c>
      <x:c r="B10" s="43" t="str">
        <x:v>Optics</x:v>
      </x:c>
      <x:c r="C10" s="43" t="str">
        <x:v>Light, Motion, Electricity</x:v>
      </x:c>
      <x:c r="D10" s="43" t="str">
        <x:v>Light, Shadows, and Reflection</x:v>
      </x:c>
      <x:c r="E10" s="43" t="str">
        <x:v>Shadows and Eclipses</x:v>
      </x:c>
      <x:c r="F10" s="43" t="str">
        <x:v>Class 6</x:v>
      </x:c>
      <x:c r="G10" s="43" t="n">
        <x:v>6</x:v>
      </x:c>
      <x:c r="H10" s="43" t="str">
        <x:v>experiment</x:v>
      </x:c>
      <x:c r="I10" s="43" t="str">
        <x:v>Beginner</x:v>
      </x:c>
      <x:c r="J10" s="43" t="str">
        <x:v>shadows-eclipses</x:v>
      </x:c>
      <x:c r="K10" s="43" t="str">
        <x:v>c6-light-shadows</x:v>
      </x:c>
      <x:c r="L10" s="43" t="str">
        <x:v>c6-light-motion-electricity</x:v>
      </x:c>
      <x:c r="M10" s="42" t="n">
        <x:v>86</x:v>
      </x:c>
      <x:c r="N10" s="43" t="str">
        <x:v>Misconception repair</x:v>
      </x:c>
      <x:c r="O10" s="43" t="str">
        <x:v>Identify sources, shadows, and simple reflection.</x:v>
      </x:c>
    </x:row>
    <x:row r="11">
      <x:c r="A11" s="42" t="n">
        <x:v>11</x:v>
      </x:c>
      <x:c r="B11" s="43" t="str">
        <x:v>Electricity</x:v>
      </x:c>
      <x:c r="C11" s="43" t="str">
        <x:v>Electric Current and Its Effects</x:v>
      </x:c>
      <x:c r="D11" s="43" t="str">
        <x:v>Heating Effect of Current</x:v>
      </x:c>
      <x:c r="E11" s="43" t="str">
        <x:v>Heating Effect of Current</x:v>
      </x:c>
      <x:c r="F11" s="43" t="str">
        <x:v>Class 7</x:v>
      </x:c>
      <x:c r="G11" s="43" t="n">
        <x:v>7</x:v>
      </x:c>
      <x:c r="H11" s="43" t="str">
        <x:v>experiment</x:v>
      </x:c>
      <x:c r="I11" s="43" t="str">
        <x:v>Beginner</x:v>
      </x:c>
      <x:c r="J11" s="43" t="str">
        <x:v>heating-effect-current</x:v>
      </x:c>
      <x:c r="K11" s="43" t="str">
        <x:v>c7-heating-effect</x:v>
      </x:c>
      <x:c r="L11" s="43" t="str">
        <x:v>c7-current-effects</x:v>
      </x:c>
      <x:c r="M11" s="42" t="n">
        <x:v>86</x:v>
      </x:c>
      <x:c r="N11" s="43" t="str">
        <x:v>Misconception repair</x:v>
      </x:c>
      <x:c r="O11" s="43" t="str">
        <x:v>Explain why wires and bulbs heat up. • Relate current to heating.</x:v>
      </x:c>
    </x:row>
    <x:row r="12">
      <x:c r="A12" s="42" t="n">
        <x:v>26</x:v>
      </x:c>
      <x:c r="B12" s="43" t="str">
        <x:v>Magnetism</x:v>
      </x:c>
      <x:c r="C12" s="43" t="str">
        <x:v>Electric Current and Its Effects</x:v>
      </x:c>
      <x:c r="D12" s="43" t="str">
        <x:v>Magnetic Effect and Electromagnet</x:v>
      </x:c>
      <x:c r="E12" s="43" t="str">
        <x:v>Electromagnet</x:v>
      </x:c>
      <x:c r="F12" s="43" t="str">
        <x:v>Class 7</x:v>
      </x:c>
      <x:c r="G12" s="43" t="n">
        <x:v>7</x:v>
      </x:c>
      <x:c r="H12" s="43" t="str">
        <x:v>experiment</x:v>
      </x:c>
      <x:c r="I12" s="43" t="str">
        <x:v>Beginner</x:v>
      </x:c>
      <x:c r="J12" s="43" t="str">
        <x:v>electromagnet</x:v>
      </x:c>
      <x:c r="K12" s="43" t="str">
        <x:v>c7-magnetic-effect</x:v>
      </x:c>
      <x:c r="L12" s="43" t="str">
        <x:v>c7-current-effects</x:v>
      </x:c>
      <x:c r="M12" s="42" t="n">
        <x:v>89</x:v>
      </x:c>
      <x:c r="N12" s="43" t="str">
        <x:v>Misconception repair</x:v>
      </x:c>
      <x:c r="O12" s="43" t="str">
        <x:v>Show current can produce magnetism. • Build a simple electromagnet model.</x:v>
      </x:c>
    </x:row>
    <x:row r="13">
      <x:c r="A13" s="42" t="n">
        <x:v>45</x:v>
      </x:c>
      <x:c r="B13" s="43" t="str">
        <x:v>Mechanics</x:v>
      </x:c>
      <x:c r="C13" s="43" t="str">
        <x:v>Motion and Time</x:v>
      </x:c>
      <x:c r="D13" s="43" t="str">
        <x:v>Distance-Time Graphs</x:v>
      </x:c>
      <x:c r="E13" s="43" t="str">
        <x:v>Uniform Motion</x:v>
      </x:c>
      <x:c r="F13" s="43" t="str">
        <x:v>Class 7</x:v>
      </x:c>
      <x:c r="G13" s="43" t="n">
        <x:v>7</x:v>
      </x:c>
      <x:c r="H13" s="43" t="str">
        <x:v>experiment</x:v>
      </x:c>
      <x:c r="I13" s="43" t="str">
        <x:v>Beginner</x:v>
      </x:c>
      <x:c r="J13" s="43" t="str">
        <x:v>uniform-motion</x:v>
      </x:c>
      <x:c r="K13" s="43" t="str">
        <x:v>c7-distance-time</x:v>
      </x:c>
      <x:c r="L13" s="43" t="str">
        <x:v>c7-motion-time</x:v>
      </x:c>
      <x:c r="M13" s="42" t="n">
        <x:v>90</x:v>
      </x:c>
      <x:c r="N13" s="43" t="str">
        <x:v>Misconception repair</x:v>
      </x:c>
      <x:c r="O13" s="43" t="str">
        <x:v>Interpret a distance-time graph. • Relate slope to speed.</x:v>
      </x:c>
    </x:row>
    <x:row r="14">
      <x:c r="A14" s="42" t="n">
        <x:v>45</x:v>
      </x:c>
      <x:c r="B14" s="43" t="str">
        <x:v>Mechanics</x:v>
      </x:c>
      <x:c r="C14" s="43" t="str">
        <x:v>Motion and Time</x:v>
      </x:c>
      <x:c r="D14" s="43" t="str">
        <x:v>Speed, Distance, and Time</x:v>
      </x:c>
      <x:c r="E14" s="43" t="str">
        <x:v>Uniform Motion</x:v>
      </x:c>
      <x:c r="F14" s="43" t="str">
        <x:v>Class 7</x:v>
      </x:c>
      <x:c r="G14" s="43" t="n">
        <x:v>7</x:v>
      </x:c>
      <x:c r="H14" s="43" t="str">
        <x:v>experiment</x:v>
      </x:c>
      <x:c r="I14" s="43" t="str">
        <x:v>Beginner</x:v>
      </x:c>
      <x:c r="J14" s="43" t="str">
        <x:v>uniform-motion</x:v>
      </x:c>
      <x:c r="K14" s="43" t="str">
        <x:v>c7-speed</x:v>
      </x:c>
      <x:c r="L14" s="43" t="str">
        <x:v>c7-motion-time</x:v>
      </x:c>
      <x:c r="M14" s="42" t="n">
        <x:v>90</x:v>
      </x:c>
      <x:c r="N14" s="43" t="str">
        <x:v>Misconception repair</x:v>
      </x:c>
      <x:c r="O14" s="43" t="str">
        <x:v>Calculate speed from distance and time. • Compare uniform and non-uniform motion.</x:v>
      </x:c>
    </x:row>
    <x:row r="15">
      <x:c r="A15" s="42" t="n">
        <x:v>56</x:v>
      </x:c>
      <x:c r="B15" s="43" t="str">
        <x:v>Optics</x:v>
      </x:c>
      <x:c r="C15" s="43" t="str">
        <x:v>Light</x:v>
      </x:c>
      <x:c r="D15" s="43" t="str">
        <x:v>Images by Lenses</x:v>
      </x:c>
      <x:c r="E15" s="43" t="str">
        <x:v>Lens Formula</x:v>
      </x:c>
      <x:c r="F15" s="43" t="str">
        <x:v>Class 7</x:v>
      </x:c>
      <x:c r="G15" s="43" t="n">
        <x:v>7</x:v>
      </x:c>
      <x:c r="H15" s="43" t="str">
        <x:v>experiment</x:v>
      </x:c>
      <x:c r="I15" s="43" t="str">
        <x:v>Intermediate</x:v>
      </x:c>
      <x:c r="J15" s="43" t="str">
        <x:v>lens-formula</x:v>
      </x:c>
      <x:c r="K15" s="43" t="str">
        <x:v>c7-lenses</x:v>
      </x:c>
      <x:c r="L15" s="43" t="str">
        <x:v>c7-light</x:v>
      </x:c>
      <x:c r="M15" s="42" t="n">
        <x:v>91</x:v>
      </x:c>
      <x:c r="N15" s="43" t="str">
        <x:v>Misconception repair</x:v>
      </x:c>
      <x:c r="O15" s="43" t="str">
        <x:v>Observe how lenses bend light. • Describe image size and orientation.</x:v>
      </x:c>
    </x:row>
    <x:row r="16">
      <x:c r="A16" s="42" t="n">
        <x:v>61</x:v>
      </x:c>
      <x:c r="B16" s="43" t="str">
        <x:v>Optics</x:v>
      </x:c>
      <x:c r="C16" s="43" t="str">
        <x:v>Light</x:v>
      </x:c>
      <x:c r="D16" s="43" t="str">
        <x:v>Reflection by Mirrors</x:v>
      </x:c>
      <x:c r="E16" s="43" t="str">
        <x:v>Reflection by Plane Mirror</x:v>
      </x:c>
      <x:c r="F16" s="43" t="str">
        <x:v>Class 7</x:v>
      </x:c>
      <x:c r="G16" s="43" t="n">
        <x:v>7</x:v>
      </x:c>
      <x:c r="H16" s="43" t="str">
        <x:v>experiment</x:v>
      </x:c>
      <x:c r="I16" s="43" t="str">
        <x:v>Beginner</x:v>
      </x:c>
      <x:c r="J16" s="43" t="str">
        <x:v>reflection-plane-mirror</x:v>
      </x:c>
      <x:c r="K16" s="43" t="str">
        <x:v>c7-reflection</x:v>
      </x:c>
      <x:c r="L16" s="43" t="str">
        <x:v>c7-light</x:v>
      </x:c>
      <x:c r="M16" s="42" t="n">
        <x:v>86</x:v>
      </x:c>
      <x:c r="N16" s="43" t="str">
        <x:v>Misconception repair</x:v>
      </x:c>
      <x:c r="O16" s="43" t="str">
        <x:v>Trace incident and reflected rays. • Compare images in plane and spherical mirrors. • Explain straight-line travel of light with shadows.</x:v>
      </x:c>
    </x:row>
    <x:row r="17">
      <x:c r="A17" s="42" t="n">
        <x:v>62</x:v>
      </x:c>
      <x:c r="B17" s="43" t="str">
        <x:v>Optics</x:v>
      </x:c>
      <x:c r="C17" s="43" t="str">
        <x:v>Light</x:v>
      </x:c>
      <x:c r="D17" s="43" t="str">
        <x:v>Reflection by Mirrors</x:v>
      </x:c>
      <x:c r="E17" s="43" t="str">
        <x:v>Shadows and Eclipses</x:v>
      </x:c>
      <x:c r="F17" s="43" t="str">
        <x:v>Class 7</x:v>
      </x:c>
      <x:c r="G17" s="43" t="n">
        <x:v>7</x:v>
      </x:c>
      <x:c r="H17" s="43" t="str">
        <x:v>experiment</x:v>
      </x:c>
      <x:c r="I17" s="43" t="str">
        <x:v>Beginner</x:v>
      </x:c>
      <x:c r="J17" s="43" t="str">
        <x:v>shadows-eclipses</x:v>
      </x:c>
      <x:c r="K17" s="43" t="str">
        <x:v>c7-reflection</x:v>
      </x:c>
      <x:c r="L17" s="43" t="str">
        <x:v>c7-light</x:v>
      </x:c>
      <x:c r="M17" s="42" t="n">
        <x:v>86</x:v>
      </x:c>
      <x:c r="N17" s="43" t="str">
        <x:v>Misconception repair</x:v>
      </x:c>
      <x:c r="O17" s="43" t="str">
        <x:v>Trace incident and reflected rays. • Compare images in plane and spherical mirrors. • Explain straight-line travel of light with shadows.</x:v>
      </x:c>
    </x:row>
    <x:row r="18">
      <x:c r="A18" s="42" t="n">
        <x:v>67</x:v>
      </x:c>
      <x:c r="B18" s="43" t="str">
        <x:v>Thermodynamics</x:v>
      </x:c>
      <x:c r="C18" s="43" t="str">
        <x:v>Heat</x:v>
      </x:c>
      <x:c r="D18" s="43" t="str">
        <x:v>Heat and Temperature</x:v>
      </x:c>
      <x:c r="E18" s="43" t="str">
        <x:v>Heat and Temperature</x:v>
      </x:c>
      <x:c r="F18" s="43" t="str">
        <x:v>Class 7</x:v>
      </x:c>
      <x:c r="G18" s="43" t="n">
        <x:v>7</x:v>
      </x:c>
      <x:c r="H18" s="43" t="str">
        <x:v>experiment</x:v>
      </x:c>
      <x:c r="I18" s="43" t="str">
        <x:v>Beginner</x:v>
      </x:c>
      <x:c r="J18" s="43" t="str">
        <x:v>heat-and-temperature</x:v>
      </x:c>
      <x:c r="K18" s="43" t="str">
        <x:v>c7-heat-temperature</x:v>
      </x:c>
      <x:c r="L18" s="43" t="str">
        <x:v>c7-heat</x:v>
      </x:c>
      <x:c r="M18" s="42" t="n">
        <x:v>86</x:v>
      </x:c>
      <x:c r="N18" s="43" t="str">
        <x:v>Misconception repair</x:v>
      </x:c>
      <x:c r="O18" s="43" t="str">
        <x:v>Distinguish heat from temperature. • Read thermometers and compare hot/cold bodies.</x:v>
      </x:c>
    </x:row>
    <x:row r="19">
      <x:c r="A19" s="42" t="n">
        <x:v>68</x:v>
      </x:c>
      <x:c r="B19" s="43" t="str">
        <x:v>Thermodynamics</x:v>
      </x:c>
      <x:c r="C19" s="43" t="str">
        <x:v>Heat</x:v>
      </x:c>
      <x:c r="D19" s="43" t="str">
        <x:v>Transfer of Heat</x:v>
      </x:c>
      <x:c r="E19" s="43" t="str">
        <x:v>Heat Transfer</x:v>
      </x:c>
      <x:c r="F19" s="43" t="str">
        <x:v>Class 7</x:v>
      </x:c>
      <x:c r="G19" s="43" t="n">
        <x:v>7</x:v>
      </x:c>
      <x:c r="H19" s="43" t="str">
        <x:v>experiment</x:v>
      </x:c>
      <x:c r="I19" s="43" t="str">
        <x:v>Beginner</x:v>
      </x:c>
      <x:c r="J19" s="43" t="str">
        <x:v>heat-transfer</x:v>
      </x:c>
      <x:c r="K19" s="43" t="str">
        <x:v>c7-heat-transfer</x:v>
      </x:c>
      <x:c r="L19" s="43" t="str">
        <x:v>c7-heat</x:v>
      </x:c>
      <x:c r="M19" s="42" t="n">
        <x:v>86</x:v>
      </x:c>
      <x:c r="N19" s="43" t="str">
        <x:v>Misconception repair</x:v>
      </x:c>
      <x:c r="O19" s="43" t="str">
        <x:v>Compare conduction, convection, and radiation. • Predict heat flow direction.</x:v>
      </x:c>
    </x:row>
    <x:row r="20">
      <x:c r="A20" s="42" t="n">
        <x:v>7</x:v>
      </x:c>
      <x:c r="B20" s="43" t="str">
        <x:v>Electricity</x:v>
      </x:c>
      <x:c r="C20" s="43" t="str">
        <x:v>Electricity and Natural Phenomena</x:v>
      </x:c>
      <x:c r="D20" s="43" t="str">
        <x:v>Chemical Effects of Current</x:v>
      </x:c>
      <x:c r="E20" s="43" t="str">
        <x:v>Chemical Effects of Current</x:v>
      </x:c>
      <x:c r="F20" s="43" t="str">
        <x:v>Class 8</x:v>
      </x:c>
      <x:c r="G20" s="43" t="n">
        <x:v>8</x:v>
      </x:c>
      <x:c r="H20" s="43" t="str">
        <x:v>experiment</x:v>
      </x:c>
      <x:c r="I20" s="43" t="str">
        <x:v>Beginner</x:v>
      </x:c>
      <x:c r="J20" s="43" t="str">
        <x:v>chemical-effects-current</x:v>
      </x:c>
      <x:c r="K20" s="43" t="str">
        <x:v>c8-chemical-current</x:v>
      </x:c>
      <x:c r="L20" s="43" t="str">
        <x:v>c8-electric-natural</x:v>
      </x:c>
      <x:c r="M20" s="42" t="n">
        <x:v>86</x:v>
      </x:c>
      <x:c r="N20" s="43" t="str">
        <x:v>Misconception repair</x:v>
      </x:c>
      <x:c r="O20" s="43" t="str">
        <x:v>Classify conducting liquids. • Model electroplating and electrolysis.</x:v>
      </x:c>
    </x:row>
    <x:row r="21">
      <x:c r="A21" s="42" t="n">
        <x:v>16</x:v>
      </x:c>
      <x:c r="B21" s="43" t="str">
        <x:v>Electricity</x:v>
      </x:c>
      <x:c r="C21" s="43" t="str">
        <x:v>Electricity and Natural Phenomena</x:v>
      </x:c>
      <x:c r="D21" s="43" t="str">
        <x:v>Static Electricity and Lightning</x:v>
      </x:c>
      <x:c r="E21" s="43" t="str">
        <x:v>Static Electricity and Lightning</x:v>
      </x:c>
      <x:c r="F21" s="43" t="str">
        <x:v>Class 8</x:v>
      </x:c>
      <x:c r="G21" s="43" t="n">
        <x:v>8</x:v>
      </x:c>
      <x:c r="H21" s="43" t="str">
        <x:v>experiment</x:v>
      </x:c>
      <x:c r="I21" s="43" t="str">
        <x:v>Beginner</x:v>
      </x:c>
      <x:c r="J21" s="43" t="str">
        <x:v>static-electricity</x:v>
      </x:c>
      <x:c r="K21" s="43" t="str">
        <x:v>c8-static-lightning</x:v>
      </x:c>
      <x:c r="L21" s="43" t="str">
        <x:v>c8-electric-natural</x:v>
      </x:c>
      <x:c r="M21" s="42" t="n">
        <x:v>86</x:v>
      </x:c>
      <x:c r="N21" s="43" t="str">
        <x:v>Misconception repair</x:v>
      </x:c>
      <x:c r="O21" s="43" t="str">
        <x:v>Explain charging by rubbing and transfer. • Connect earthing to safety.</x:v>
      </x:c>
    </x:row>
    <x:row r="22">
      <x:c r="A22" s="42" t="n">
        <x:v>24</x:v>
      </x:c>
      <x:c r="B22" s="43" t="str">
        <x:v>Fluid Mechanics</x:v>
      </x:c>
      <x:c r="C22" s="43" t="str">
        <x:v>Force and Pressure</x:v>
      </x:c>
      <x:c r="D22" s="43" t="str">
        <x:v>Pressure in Solids and Fluids</x:v>
      </x:c>
      <x:c r="E22" s="43" t="str">
        <x:v>Fluid Pressure with Depth</x:v>
      </x:c>
      <x:c r="F22" s="43" t="str">
        <x:v>Class 8</x:v>
      </x:c>
      <x:c r="G22" s="43" t="n">
        <x:v>8</x:v>
      </x:c>
      <x:c r="H22" s="43" t="str">
        <x:v>experiment</x:v>
      </x:c>
      <x:c r="I22" s="43" t="str">
        <x:v>Beginner</x:v>
      </x:c>
      <x:c r="J22" s="43" t="str">
        <x:v>fluid-pressure</x:v>
      </x:c>
      <x:c r="K22" s="43" t="str">
        <x:v>c8-pressure</x:v>
      </x:c>
      <x:c r="L22" s="43" t="str">
        <x:v>c8-force-pressure</x:v>
      </x:c>
      <x:c r="M22" s="42" t="n">
        <x:v>86</x:v>
      </x:c>
      <x:c r="N22" s="43" t="str">
        <x:v>Misconception repair</x:v>
      </x:c>
      <x:c r="O22" s="43" t="str">
        <x:v>Relate pressure to force and area. • Compare pressure at different depths.</x:v>
      </x:c>
    </x:row>
    <x:row r="23">
      <x:c r="A23" s="42" t="n">
        <x:v>25</x:v>
      </x:c>
      <x:c r="B23" s="43" t="str">
        <x:v>Fluid Mechanics</x:v>
      </x:c>
      <x:c r="C23" s="43" t="str">
        <x:v>Force and Pressure</x:v>
      </x:c>
      <x:c r="D23" s="43" t="str">
        <x:v>Pressure in Solids and Fluids</x:v>
      </x:c>
      <x:c r="E23" s="43" t="str">
        <x:v>Force and Pressure</x:v>
      </x:c>
      <x:c r="F23" s="43" t="str">
        <x:v>Class 8</x:v>
      </x:c>
      <x:c r="G23" s="43" t="n">
        <x:v>8</x:v>
      </x:c>
      <x:c r="H23" s="43" t="str">
        <x:v>experiment</x:v>
      </x:c>
      <x:c r="I23" s="43" t="str">
        <x:v>Beginner</x:v>
      </x:c>
      <x:c r="J23" s="43" t="str">
        <x:v>force-and-pressure</x:v>
      </x:c>
      <x:c r="K23" s="43" t="str">
        <x:v>c8-pressure</x:v>
      </x:c>
      <x:c r="L23" s="43" t="str">
        <x:v>c8-force-pressure</x:v>
      </x:c>
      <x:c r="M23" s="42" t="n">
        <x:v>91</x:v>
      </x:c>
      <x:c r="N23" s="43" t="str">
        <x:v>Misconception repair</x:v>
      </x:c>
      <x:c r="O23" s="43" t="str">
        <x:v>Relate pressure to force and area. • Compare pressure at different depths.</x:v>
      </x:c>
    </x:row>
    <x:row r="24">
      <x:c r="A24" s="42" t="n">
        <x:v>25</x:v>
      </x:c>
      <x:c r="B24" s="43" t="str">
        <x:v>Fluid Mechanics</x:v>
      </x:c>
      <x:c r="C24" s="43" t="str">
        <x:v>Force and Pressure</x:v>
      </x:c>
      <x:c r="D24" s="43" t="str">
        <x:v>Effects of Force</x:v>
      </x:c>
      <x:c r="E24" s="43" t="str">
        <x:v>Force and Pressure</x:v>
      </x:c>
      <x:c r="F24" s="43" t="str">
        <x:v>Class 8</x:v>
      </x:c>
      <x:c r="G24" s="43" t="n">
        <x:v>8</x:v>
      </x:c>
      <x:c r="H24" s="43" t="str">
        <x:v>experiment</x:v>
      </x:c>
      <x:c r="I24" s="43" t="str">
        <x:v>Beginner</x:v>
      </x:c>
      <x:c r="J24" s="43" t="str">
        <x:v>force-and-pressure</x:v>
      </x:c>
      <x:c r="K24" s="43" t="str">
        <x:v>c8-force-effects</x:v>
      </x:c>
      <x:c r="L24" s="43" t="str">
        <x:v>c8-force-pressure</x:v>
      </x:c>
      <x:c r="M24" s="42" t="n">
        <x:v>91</x:v>
      </x:c>
      <x:c r="N24" s="43" t="str">
        <x:v>Misconception repair</x:v>
      </x:c>
      <x:c r="O24" s="43" t="str">
        <x:v>Identify push/pull interactions. • Predict changes in speed, direction, and shape.</x:v>
      </x:c>
    </x:row>
    <x:row r="25">
      <x:c r="A25" s="42" t="n">
        <x:v>41</x:v>
      </x:c>
      <x:c r="B25" s="43" t="str">
        <x:v>Mechanics</x:v>
      </x:c>
      <x:c r="C25" s="43" t="str">
        <x:v>Force and Pressure</x:v>
      </x:c>
      <x:c r="D25" s="43" t="str">
        <x:v>Effects of Force</x:v>
      </x:c>
      <x:c r="E25" s="43" t="str">
        <x:v>Newton's Second Law</x:v>
      </x:c>
      <x:c r="F25" s="43" t="str">
        <x:v>Class 8</x:v>
      </x:c>
      <x:c r="G25" s="43" t="n">
        <x:v>8</x:v>
      </x:c>
      <x:c r="H25" s="43" t="str">
        <x:v>experiment</x:v>
      </x:c>
      <x:c r="I25" s="43" t="str">
        <x:v>Beginner</x:v>
      </x:c>
      <x:c r="J25" s="43" t="str">
        <x:v>newton-s-second-law</x:v>
      </x:c>
      <x:c r="K25" s="43" t="str">
        <x:v>c8-force-effects</x:v>
      </x:c>
      <x:c r="L25" s="43" t="str">
        <x:v>c8-force-pressure</x:v>
      </x:c>
      <x:c r="M25" s="42" t="n">
        <x:v>90</x:v>
      </x:c>
      <x:c r="N25" s="43" t="str">
        <x:v>Misconception repair</x:v>
      </x:c>
      <x:c r="O25" s="43" t="str">
        <x:v>Identify push/pull interactions. • Predict changes in speed, direction, and shape.</x:v>
      </x:c>
    </x:row>
    <x:row r="26">
      <x:c r="A26" s="42" t="n">
        <x:v>37</x:v>
      </x:c>
      <x:c r="B26" s="43" t="str">
        <x:v>Mechanics</x:v>
      </x:c>
      <x:c r="C26" s="43" t="str">
        <x:v>Friction, Sound, and Light</x:v>
      </x:c>
      <x:c r="D26" s="43" t="str">
        <x:v>Friction</x:v>
      </x:c>
      <x:c r="E26" s="43" t="str">
        <x:v>Friction</x:v>
      </x:c>
      <x:c r="F26" s="43" t="str">
        <x:v>Class 8</x:v>
      </x:c>
      <x:c r="G26" s="43" t="n">
        <x:v>8</x:v>
      </x:c>
      <x:c r="H26" s="43" t="str">
        <x:v>experiment</x:v>
      </x:c>
      <x:c r="I26" s="43" t="str">
        <x:v>Beginner</x:v>
      </x:c>
      <x:c r="J26" s="43" t="str">
        <x:v>friction</x:v>
      </x:c>
      <x:c r="K26" s="43" t="str">
        <x:v>c8-friction</x:v>
      </x:c>
      <x:c r="L26" s="43" t="str">
        <x:v>c8-friction-sound-light</x:v>
      </x:c>
      <x:c r="M26" s="42" t="n">
        <x:v>90</x:v>
      </x:c>
      <x:c r="N26" s="43" t="str">
        <x:v>Misconception repair</x:v>
      </x:c>
      <x:c r="O26" s="43" t="str">
        <x:v>Compare static, sliding, and rolling friction. • Explain useful and harmful friction.</x:v>
      </x:c>
    </x:row>
    <x:row r="27">
      <x:c r="A27" s="42" t="n">
        <x:v>39</x:v>
      </x:c>
      <x:c r="B27" s="43" t="str">
        <x:v>Mechanics</x:v>
      </x:c>
      <x:c r="C27" s="43" t="str">
        <x:v>Friction, Sound, and Light</x:v>
      </x:c>
      <x:c r="D27" s="43" t="str">
        <x:v>Friction</x:v>
      </x:c>
      <x:c r="E27" s="43" t="str">
        <x:v>Inclined Plane</x:v>
      </x:c>
      <x:c r="F27" s="43" t="str">
        <x:v>Class 8</x:v>
      </x:c>
      <x:c r="G27" s="43" t="n">
        <x:v>8</x:v>
      </x:c>
      <x:c r="H27" s="43" t="str">
        <x:v>experiment</x:v>
      </x:c>
      <x:c r="I27" s="43" t="str">
        <x:v>Intermediate</x:v>
      </x:c>
      <x:c r="J27" s="43" t="str">
        <x:v>inclined-plane</x:v>
      </x:c>
      <x:c r="K27" s="43" t="str">
        <x:v>c8-friction</x:v>
      </x:c>
      <x:c r="L27" s="43" t="str">
        <x:v>c8-friction-sound-light</x:v>
      </x:c>
      <x:c r="M27" s="42" t="n">
        <x:v>90</x:v>
      </x:c>
      <x:c r="N27" s="43" t="str">
        <x:v>Misconception repair</x:v>
      </x:c>
      <x:c r="O27" s="43" t="str">
        <x:v>Compare static, sliding, and rolling friction. • Explain useful and harmful friction.</x:v>
      </x:c>
    </x:row>
    <x:row r="28">
      <x:c r="A28" s="42" t="n">
        <x:v>59</x:v>
      </x:c>
      <x:c r="B28" s="43" t="str">
        <x:v>Optics</x:v>
      </x:c>
      <x:c r="C28" s="43" t="str">
        <x:v>Friction, Sound, and Light</x:v>
      </x:c>
      <x:c r="D28" s="43" t="str">
        <x:v>Light and Multiple Reflection</x:v>
      </x:c>
      <x:c r="E28" s="43" t="str">
        <x:v>Multiple Reflection and Kaleidoscope</x:v>
      </x:c>
      <x:c r="F28" s="43" t="str">
        <x:v>Class 8</x:v>
      </x:c>
      <x:c r="G28" s="43" t="n">
        <x:v>8</x:v>
      </x:c>
      <x:c r="H28" s="43" t="str">
        <x:v>experiment</x:v>
      </x:c>
      <x:c r="I28" s="43" t="str">
        <x:v>Beginner</x:v>
      </x:c>
      <x:c r="J28" s="43" t="str">
        <x:v>multiple-reflection</x:v>
      </x:c>
      <x:c r="K28" s="43" t="str">
        <x:v>c8-light</x:v>
      </x:c>
      <x:c r="L28" s="43" t="str">
        <x:v>c8-friction-sound-light</x:v>
      </x:c>
      <x:c r="M28" s="42" t="n">
        <x:v>86</x:v>
      </x:c>
      <x:c r="N28" s="43" t="str">
        <x:v>Misconception repair</x:v>
      </x:c>
      <x:c r="O28" s="43" t="str">
        <x:v>Trace reflection paths. • Explore mirrors, lenses, and dispersion. • Predict images from two plane mirrors.</x:v>
      </x:c>
    </x:row>
    <x:row r="29">
      <x:c r="A29" s="42" t="n">
        <x:v>60</x:v>
      </x:c>
      <x:c r="B29" s="43" t="str">
        <x:v>Optics</x:v>
      </x:c>
      <x:c r="C29" s="43" t="str">
        <x:v>Friction, Sound, and Light</x:v>
      </x:c>
      <x:c r="D29" s="43" t="str">
        <x:v>Light and Multiple Reflection</x:v>
      </x:c>
      <x:c r="E29" s="43" t="str">
        <x:v>Prism Dispersion</x:v>
      </x:c>
      <x:c r="F29" s="43" t="str">
        <x:v>Class 8</x:v>
      </x:c>
      <x:c r="G29" s="43" t="n">
        <x:v>8</x:v>
      </x:c>
      <x:c r="H29" s="43" t="str">
        <x:v>experiment</x:v>
      </x:c>
      <x:c r="I29" s="43" t="str">
        <x:v>Intermediate</x:v>
      </x:c>
      <x:c r="J29" s="43" t="str">
        <x:v>prism-dispersion</x:v>
      </x:c>
      <x:c r="K29" s="43" t="str">
        <x:v>c8-light</x:v>
      </x:c>
      <x:c r="L29" s="43" t="str">
        <x:v>c8-friction-sound-light</x:v>
      </x:c>
      <x:c r="M29" s="42" t="n">
        <x:v>86</x:v>
      </x:c>
      <x:c r="N29" s="43" t="str">
        <x:v>Misconception repair</x:v>
      </x:c>
      <x:c r="O29" s="43" t="str">
        <x:v>Trace reflection paths. • Explore mirrors, lenses, and dispersion. • Predict images from two plane mirrors.</x:v>
      </x:c>
    </x:row>
    <x:row r="30">
      <x:c r="A30" s="42" t="n">
        <x:v>61</x:v>
      </x:c>
      <x:c r="B30" s="43" t="str">
        <x:v>Optics</x:v>
      </x:c>
      <x:c r="C30" s="43" t="str">
        <x:v>Friction, Sound, and Light</x:v>
      </x:c>
      <x:c r="D30" s="43" t="str">
        <x:v>Light and Multiple Reflection</x:v>
      </x:c>
      <x:c r="E30" s="43" t="str">
        <x:v>Reflection by Plane Mirror</x:v>
      </x:c>
      <x:c r="F30" s="43" t="str">
        <x:v>Class 8</x:v>
      </x:c>
      <x:c r="G30" s="43" t="n">
        <x:v>8</x:v>
      </x:c>
      <x:c r="H30" s="43" t="str">
        <x:v>experiment</x:v>
      </x:c>
      <x:c r="I30" s="43" t="str">
        <x:v>Beginner</x:v>
      </x:c>
      <x:c r="J30" s="43" t="str">
        <x:v>reflection-plane-mirror</x:v>
      </x:c>
      <x:c r="K30" s="43" t="str">
        <x:v>c8-light</x:v>
      </x:c>
      <x:c r="L30" s="43" t="str">
        <x:v>c8-friction-sound-light</x:v>
      </x:c>
      <x:c r="M30" s="42" t="n">
        <x:v>86</x:v>
      </x:c>
      <x:c r="N30" s="43" t="str">
        <x:v>Misconception repair</x:v>
      </x:c>
      <x:c r="O30" s="43" t="str">
        <x:v>Trace reflection paths. • Explore mirrors, lenses, and dispersion. • Predict images from two plane mirrors.</x:v>
      </x:c>
    </x:row>
    <x:row r="31">
      <x:c r="A31" s="42" t="n">
        <x:v>71</x:v>
      </x:c>
      <x:c r="B31" s="43" t="str">
        <x:v>Waves</x:v>
      </x:c>
      <x:c r="C31" s="43" t="str">
        <x:v>Friction, Sound, and Light</x:v>
      </x:c>
      <x:c r="D31" s="43" t="str">
        <x:v>Sound</x:v>
      </x:c>
      <x:c r="E31" s="43" t="str">
        <x:v>Chladni Plate</x:v>
      </x:c>
      <x:c r="F31" s="43" t="str">
        <x:v>Class 8</x:v>
      </x:c>
      <x:c r="G31" s="43" t="n">
        <x:v>8</x:v>
      </x:c>
      <x:c r="H31" s="43" t="str">
        <x:v>experiment</x:v>
      </x:c>
      <x:c r="I31" s="43" t="str">
        <x:v>Advanced</x:v>
      </x:c>
      <x:c r="J31" s="43" t="str">
        <x:v>chladni-plate</x:v>
      </x:c>
      <x:c r="K31" s="43" t="str">
        <x:v>c8-sound</x:v>
      </x:c>
      <x:c r="L31" s="43" t="str">
        <x:v>c8-friction-sound-light</x:v>
      </x:c>
      <x:c r="M31" s="42" t="n">
        <x:v>76</x:v>
      </x:c>
      <x:c r="N31" s="43" t="str">
        <x:v>Transfer practice</x:v>
      </x:c>
      <x:c r="O31" s="43" t="str">
        <x:v>Connect vibration to sound. • Compare pitch, loudness, frequency, and amplitude.</x:v>
      </x:c>
    </x:row>
    <x:row r="32">
      <x:c r="A32" s="42" t="n">
        <x:v>79</x:v>
      </x:c>
      <x:c r="B32" s="43" t="str">
        <x:v>Waves</x:v>
      </x:c>
      <x:c r="C32" s="43" t="str">
        <x:v>Friction, Sound, and Light</x:v>
      </x:c>
      <x:c r="D32" s="43" t="str">
        <x:v>Sound</x:v>
      </x:c>
      <x:c r="E32" s="43" t="str">
        <x:v>Wave Lab</x:v>
      </x:c>
      <x:c r="F32" s="43" t="str">
        <x:v>Class 8</x:v>
      </x:c>
      <x:c r="G32" s="43" t="n">
        <x:v>8</x:v>
      </x:c>
      <x:c r="H32" s="43" t="str">
        <x:v>experiment</x:v>
      </x:c>
      <x:c r="I32" s="43" t="str">
        <x:v>Intermediate</x:v>
      </x:c>
      <x:c r="J32" s="43" t="str">
        <x:v>wave-lab</x:v>
      </x:c>
      <x:c r="K32" s="43" t="str">
        <x:v>c8-sound</x:v>
      </x:c>
      <x:c r="L32" s="43" t="str">
        <x:v>c8-friction-sound-light</x:v>
      </x:c>
      <x:c r="M32" s="42" t="n">
        <x:v>79</x:v>
      </x:c>
      <x:c r="N32" s="43" t="str">
        <x:v>Measurement skill</x:v>
      </x:c>
      <x:c r="O32" s="43" t="str">
        <x:v>Connect vibration to sound. • Compare pitch, loudness, frequency, and amplitude.</x:v>
      </x:c>
    </x:row>
    <x:row r="33">
      <x:c r="A33" s="42" t="n">
        <x:v>22</x:v>
      </x:c>
      <x:c r="B33" s="43" t="str">
        <x:v>Fluid Mechanics</x:v>
      </x:c>
      <x:c r="C33" s="43" t="str">
        <x:v>Motion, Force, and Work</x:v>
      </x:c>
      <x:c r="D33" s="43" t="str">
        <x:v>Floatation and Buoyancy</x:v>
      </x:c>
      <x:c r="E33" s="43" t="str">
        <x:v>Buoyancy</x:v>
      </x:c>
      <x:c r="F33" s="43" t="str">
        <x:v>Class 9</x:v>
      </x:c>
      <x:c r="G33" s="43" t="n">
        <x:v>9</x:v>
      </x:c>
      <x:c r="H33" s="43" t="str">
        <x:v>experiment</x:v>
      </x:c>
      <x:c r="I33" s="43" t="str">
        <x:v>Beginner</x:v>
      </x:c>
      <x:c r="J33" s="43" t="str">
        <x:v>buoyancy</x:v>
      </x:c>
      <x:c r="K33" s="43" t="str">
        <x:v>c9-floatation</x:v>
      </x:c>
      <x:c r="L33" s="43" t="str">
        <x:v>c9-motion-force-work</x:v>
      </x:c>
      <x:c r="M33" s="42" t="n">
        <x:v>83</x:v>
      </x:c>
      <x:c r="N33" s="43" t="str">
        <x:v>Measurement skill</x:v>
      </x:c>
      <x:c r="O33" s="43" t="str">
        <x:v>Apply Archimedes' principle. • Relate density to floating and sinking.</x:v>
      </x:c>
    </x:row>
    <x:row r="34">
      <x:c r="A34" s="42" t="n">
        <x:v>35</x:v>
      </x:c>
      <x:c r="B34" s="43" t="str">
        <x:v>Mechanics</x:v>
      </x:c>
      <x:c r="C34" s="43" t="str">
        <x:v>Motion, Force, and Work</x:v>
      </x:c>
      <x:c r="D34" s="43" t="str">
        <x:v>Force and Newton's Laws</x:v>
      </x:c>
      <x:c r="E34" s="43" t="str">
        <x:v>Elastic Collision</x:v>
      </x:c>
      <x:c r="F34" s="43" t="str">
        <x:v>Class 9</x:v>
      </x:c>
      <x:c r="G34" s="43" t="n">
        <x:v>9</x:v>
      </x:c>
      <x:c r="H34" s="43" t="str">
        <x:v>experiment</x:v>
      </x:c>
      <x:c r="I34" s="43" t="str">
        <x:v>Intermediate</x:v>
      </x:c>
      <x:c r="J34" s="43" t="str">
        <x:v>elastic-collision</x:v>
      </x:c>
      <x:c r="K34" s="43" t="str">
        <x:v>c9-newton-laws</x:v>
      </x:c>
      <x:c r="L34" s="43" t="str">
        <x:v>c9-motion-force-work</x:v>
      </x:c>
      <x:c r="M34" s="42" t="n">
        <x:v>90</x:v>
      </x:c>
      <x:c r="N34" s="43" t="str">
        <x:v>Misconception repair</x:v>
      </x:c>
      <x:c r="O34" s="43" t="str">
        <x:v>Explain inertia and momentum. • Apply F = ma to everyday situations.</x:v>
      </x:c>
    </x:row>
    <x:row r="35">
      <x:c r="A35" s="42" t="n">
        <x:v>41</x:v>
      </x:c>
      <x:c r="B35" s="43" t="str">
        <x:v>Mechanics</x:v>
      </x:c>
      <x:c r="C35" s="43" t="str">
        <x:v>Motion, Force, and Work</x:v>
      </x:c>
      <x:c r="D35" s="43" t="str">
        <x:v>Force and Newton's Laws</x:v>
      </x:c>
      <x:c r="E35" s="43" t="str">
        <x:v>Newton's Second Law</x:v>
      </x:c>
      <x:c r="F35" s="43" t="str">
        <x:v>Class 9</x:v>
      </x:c>
      <x:c r="G35" s="43" t="n">
        <x:v>9</x:v>
      </x:c>
      <x:c r="H35" s="43" t="str">
        <x:v>experiment</x:v>
      </x:c>
      <x:c r="I35" s="43" t="str">
        <x:v>Beginner</x:v>
      </x:c>
      <x:c r="J35" s="43" t="str">
        <x:v>newton-s-second-law</x:v>
      </x:c>
      <x:c r="K35" s="43" t="str">
        <x:v>c9-newton-laws</x:v>
      </x:c>
      <x:c r="L35" s="43" t="str">
        <x:v>c9-motion-force-work</x:v>
      </x:c>
      <x:c r="M35" s="42" t="n">
        <x:v>90</x:v>
      </x:c>
      <x:c r="N35" s="43" t="str">
        <x:v>Misconception repair</x:v>
      </x:c>
      <x:c r="O35" s="43" t="str">
        <x:v>Explain inertia and momentum. • Apply F = ma to everyday situations.</x:v>
      </x:c>
    </x:row>
    <x:row r="36">
      <x:c r="A36" s="42" t="n">
        <x:v>36</x:v>
      </x:c>
      <x:c r="B36" s="43" t="str">
        <x:v>Mechanics</x:v>
      </x:c>
      <x:c r="C36" s="43" t="str">
        <x:v>Motion, Force, and Work</x:v>
      </x:c>
      <x:c r="D36" s="43" t="str">
        <x:v>Gravitation and Free Fall</x:v>
      </x:c>
      <x:c r="E36" s="43" t="str">
        <x:v>Free Fall</x:v>
      </x:c>
      <x:c r="F36" s="43" t="str">
        <x:v>Class 9</x:v>
      </x:c>
      <x:c r="G36" s="43" t="n">
        <x:v>9</x:v>
      </x:c>
      <x:c r="H36" s="43" t="str">
        <x:v>experiment</x:v>
      </x:c>
      <x:c r="I36" s="43" t="str">
        <x:v>Beginner</x:v>
      </x:c>
      <x:c r="J36" s="43" t="str">
        <x:v>free-fall</x:v>
      </x:c>
      <x:c r="K36" s="43" t="str">
        <x:v>c9-gravitation</x:v>
      </x:c>
      <x:c r="L36" s="43" t="str">
        <x:v>c9-motion-force-work</x:v>
      </x:c>
      <x:c r="M36" s="42" t="n">
        <x:v>95</x:v>
      </x:c>
      <x:c r="N36" s="43" t="str">
        <x:v>Misconception repair</x:v>
      </x:c>
      <x:c r="O36" s="43" t="str">
        <x:v>Compare mass and weight. • Model free fall under gravity.</x:v>
      </x:c>
    </x:row>
    <x:row r="37">
      <x:c r="A37" s="42" t="n">
        <x:v>40</x:v>
      </x:c>
      <x:c r="B37" s="43" t="str">
        <x:v>Mechanics</x:v>
      </x:c>
      <x:c r="C37" s="43" t="str">
        <x:v>Motion, Force, and Work</x:v>
      </x:c>
      <x:c r="D37" s="43" t="str">
        <x:v>Gravitation and Free Fall</x:v>
      </x:c>
      <x:c r="E37" s="43" t="str">
        <x:v>Mass and Weight</x:v>
      </x:c>
      <x:c r="F37" s="43" t="str">
        <x:v>Class 9</x:v>
      </x:c>
      <x:c r="G37" s="43" t="n">
        <x:v>9</x:v>
      </x:c>
      <x:c r="H37" s="43" t="str">
        <x:v>experiment</x:v>
      </x:c>
      <x:c r="I37" s="43" t="str">
        <x:v>Beginner</x:v>
      </x:c>
      <x:c r="J37" s="43" t="str">
        <x:v>mass-and-weight</x:v>
      </x:c>
      <x:c r="K37" s="43" t="str">
        <x:v>c9-gravitation</x:v>
      </x:c>
      <x:c r="L37" s="43" t="str">
        <x:v>c9-motion-force-work</x:v>
      </x:c>
      <x:c r="M37" s="42" t="n">
        <x:v>86</x:v>
      </x:c>
      <x:c r="N37" s="43" t="str">
        <x:v>Misconception repair</x:v>
      </x:c>
      <x:c r="O37" s="43" t="str">
        <x:v>Compare mass and weight. • Model free fall under gravity.</x:v>
      </x:c>
    </x:row>
    <x:row r="38">
      <x:c r="A38" s="42" t="n">
        <x:v>45</x:v>
      </x:c>
      <x:c r="B38" s="43" t="str">
        <x:v>Mechanics</x:v>
      </x:c>
      <x:c r="C38" s="43" t="str">
        <x:v>Motion, Force, and Work</x:v>
      </x:c>
      <x:c r="D38" s="43" t="str">
        <x:v>Motion in One Dimension</x:v>
      </x:c>
      <x:c r="E38" s="43" t="str">
        <x:v>Uniform Motion</x:v>
      </x:c>
      <x:c r="F38" s="43" t="str">
        <x:v>Class 9</x:v>
      </x:c>
      <x:c r="G38" s="43" t="n">
        <x:v>9</x:v>
      </x:c>
      <x:c r="H38" s="43" t="str">
        <x:v>experiment</x:v>
      </x:c>
      <x:c r="I38" s="43" t="str">
        <x:v>Beginner</x:v>
      </x:c>
      <x:c r="J38" s="43" t="str">
        <x:v>uniform-motion</x:v>
      </x:c>
      <x:c r="K38" s="43" t="str">
        <x:v>c9-motion</x:v>
      </x:c>
      <x:c r="L38" s="43" t="str">
        <x:v>c9-motion-force-work</x:v>
      </x:c>
      <x:c r="M38" s="42" t="n">
        <x:v>90</x:v>
      </x:c>
      <x:c r="N38" s="43" t="str">
        <x:v>Misconception repair</x:v>
      </x:c>
      <x:c r="O38" s="43" t="str">
        <x:v>Analyse displacement, velocity, and acceleration. • Use distance-time and velocity-time graphs.</x:v>
      </x:c>
    </x:row>
    <x:row r="39">
      <x:c r="A39" s="42" t="n">
        <x:v>33</x:v>
      </x:c>
      <x:c r="B39" s="43" t="str">
        <x:v>Mechanics</x:v>
      </x:c>
      <x:c r="C39" s="43" t="str">
        <x:v>Motion, Force, and Work</x:v>
      </x:c>
      <x:c r="D39" s="43" t="str">
        <x:v>Work, Energy, and Power</x:v>
      </x:c>
      <x:c r="E39" s="43" t="str">
        <x:v>Conservation of Energy</x:v>
      </x:c>
      <x:c r="F39" s="43" t="str">
        <x:v>Class 9</x:v>
      </x:c>
      <x:c r="G39" s="43" t="n">
        <x:v>9</x:v>
      </x:c>
      <x:c r="H39" s="43" t="str">
        <x:v>experiment</x:v>
      </x:c>
      <x:c r="I39" s="43" t="str">
        <x:v>Intermediate</x:v>
      </x:c>
      <x:c r="J39" s="43" t="str">
        <x:v>conservation-of-energy</x:v>
      </x:c>
      <x:c r="K39" s="43" t="str">
        <x:v>c9-work-energy</x:v>
      </x:c>
      <x:c r="L39" s="43" t="str">
        <x:v>c9-motion-force-work</x:v>
      </x:c>
      <x:c r="M39" s="42" t="n">
        <x:v>90</x:v>
      </x:c>
      <x:c r="N39" s="43" t="str">
        <x:v>Misconception repair</x:v>
      </x:c>
      <x:c r="O39" s="43" t="str">
        <x:v>Calculate work, kinetic energy, potential energy, and power. • Explain conservation of energy.</x:v>
      </x:c>
    </x:row>
    <x:row r="40">
      <x:c r="A40" s="42" t="n">
        <x:v>39</x:v>
      </x:c>
      <x:c r="B40" s="43" t="str">
        <x:v>Mechanics</x:v>
      </x:c>
      <x:c r="C40" s="43" t="str">
        <x:v>Motion, Force, and Work</x:v>
      </x:c>
      <x:c r="D40" s="43" t="str">
        <x:v>Work, Energy, and Power</x:v>
      </x:c>
      <x:c r="E40" s="43" t="str">
        <x:v>Inclined Plane</x:v>
      </x:c>
      <x:c r="F40" s="43" t="str">
        <x:v>Class 9</x:v>
      </x:c>
      <x:c r="G40" s="43" t="n">
        <x:v>9</x:v>
      </x:c>
      <x:c r="H40" s="43" t="str">
        <x:v>experiment</x:v>
      </x:c>
      <x:c r="I40" s="43" t="str">
        <x:v>Intermediate</x:v>
      </x:c>
      <x:c r="J40" s="43" t="str">
        <x:v>inclined-plane</x:v>
      </x:c>
      <x:c r="K40" s="43" t="str">
        <x:v>c9-work-energy</x:v>
      </x:c>
      <x:c r="L40" s="43" t="str">
        <x:v>c9-motion-force-work</x:v>
      </x:c>
      <x:c r="M40" s="42" t="n">
        <x:v>90</x:v>
      </x:c>
      <x:c r="N40" s="43" t="str">
        <x:v>Misconception repair</x:v>
      </x:c>
      <x:c r="O40" s="43" t="str">
        <x:v>Calculate work, kinetic energy, potential energy, and power. • Explain conservation of energy.</x:v>
      </x:c>
    </x:row>
    <x:row r="41">
      <x:c r="A41" s="42" t="n">
        <x:v>47</x:v>
      </x:c>
      <x:c r="B41" s="43" t="str">
        <x:v>Mechanics</x:v>
      </x:c>
      <x:c r="C41" s="43" t="str">
        <x:v>Motion, Force, and Work</x:v>
      </x:c>
      <x:c r="D41" s="43" t="str">
        <x:v>Work, Energy, and Power</x:v>
      </x:c>
      <x:c r="E41" s="43" t="str">
        <x:v>Work and Power</x:v>
      </x:c>
      <x:c r="F41" s="43" t="str">
        <x:v>Class 9</x:v>
      </x:c>
      <x:c r="G41" s="43" t="n">
        <x:v>9</x:v>
      </x:c>
      <x:c r="H41" s="43" t="str">
        <x:v>experiment</x:v>
      </x:c>
      <x:c r="I41" s="43" t="str">
        <x:v>Beginner</x:v>
      </x:c>
      <x:c r="J41" s="43" t="str">
        <x:v>work-power</x:v>
      </x:c>
      <x:c r="K41" s="43" t="str">
        <x:v>c9-work-energy</x:v>
      </x:c>
      <x:c r="L41" s="43" t="str">
        <x:v>c9-motion-force-work</x:v>
      </x:c>
      <x:c r="M41" s="42" t="n">
        <x:v>86</x:v>
      </x:c>
      <x:c r="N41" s="43" t="str">
        <x:v>Misconception repair</x:v>
      </x:c>
      <x:c r="O41" s="43" t="str">
        <x:v>Calculate work, kinetic energy, potential energy, and power. • Explain conservation of energy.</x:v>
      </x:c>
    </x:row>
    <x:row r="42">
      <x:c r="A42" s="42" t="n">
        <x:v>44</x:v>
      </x:c>
      <x:c r="B42" s="43" t="str">
        <x:v>Mechanics</x:v>
      </x:c>
      <x:c r="C42" s="43" t="str">
        <x:v>Motion, Force, and Work</x:v>
      </x:c>
      <x:c r="D42" s="43" t="str">
        <x:v>Pendulum and Periodic Motion</x:v>
      </x:c>
      <x:c r="E42" s="43" t="str">
        <x:v>Simple Pendulum</x:v>
      </x:c>
      <x:c r="F42" s="43" t="str">
        <x:v>Class 9</x:v>
      </x:c>
      <x:c r="G42" s="43" t="n">
        <x:v>9</x:v>
      </x:c>
      <x:c r="H42" s="43" t="str">
        <x:v>experiment</x:v>
      </x:c>
      <x:c r="I42" s="43" t="str">
        <x:v>Intermediate</x:v>
      </x:c>
      <x:c r="J42" s="43" t="str">
        <x:v>simple-pendulum</x:v>
      </x:c>
      <x:c r="K42" s="43" t="str">
        <x:v>c9-pendulum-intro</x:v>
      </x:c>
      <x:c r="L42" s="43" t="str">
        <x:v>c9-motion-force-work</x:v>
      </x:c>
      <x:c r="M42" s="42" t="n">
        <x:v>90</x:v>
      </x:c>
      <x:c r="N42" s="43" t="str">
        <x:v>Misconception repair</x:v>
      </x:c>
      <x:c r="O42" s="43" t="str">
        <x:v>Observe how period depends on length, not mass. • Connect periodic motion to time-keeping.</x:v>
      </x:c>
    </x:row>
    <x:row r="43">
      <x:c r="A43" s="42" t="n">
        <x:v>72</x:v>
      </x:c>
      <x:c r="B43" s="43" t="str">
        <x:v>Waves</x:v>
      </x:c>
      <x:c r="C43" s="43" t="str">
        <x:v>Motion, Force, and Work</x:v>
      </x:c>
      <x:c r="D43" s="43" t="str">
        <x:v>Sound</x:v>
      </x:c>
      <x:c r="E43" s="43" t="str">
        <x:v>Echo and Speed of Sound</x:v>
      </x:c>
      <x:c r="F43" s="43" t="str">
        <x:v>Class 9</x:v>
      </x:c>
      <x:c r="G43" s="43" t="n">
        <x:v>9</x:v>
      </x:c>
      <x:c r="H43" s="43" t="str">
        <x:v>experiment</x:v>
      </x:c>
      <x:c r="I43" s="43" t="str">
        <x:v>Intermediate</x:v>
      </x:c>
      <x:c r="J43" s="43" t="str">
        <x:v>echo-speed-sound</x:v>
      </x:c>
      <x:c r="K43" s="43" t="str">
        <x:v>c9-sound</x:v>
      </x:c>
      <x:c r="L43" s="43" t="str">
        <x:v>c9-motion-force-work</x:v>
      </x:c>
      <x:c r="M43" s="42" t="n">
        <x:v>89</x:v>
      </x:c>
      <x:c r="N43" s="43" t="str">
        <x:v>Misconception repair</x:v>
      </x:c>
      <x:c r="O43" s="43" t="str">
        <x:v>Visualize longitudinal waves. • Explain echo, ultrasound, and speed of sound.</x:v>
      </x:c>
    </x:row>
    <x:row r="44">
      <x:c r="A44" s="42" t="n">
        <x:v>74</x:v>
      </x:c>
      <x:c r="B44" s="43" t="str">
        <x:v>Waves</x:v>
      </x:c>
      <x:c r="C44" s="43" t="str">
        <x:v>Motion, Force, and Work</x:v>
      </x:c>
      <x:c r="D44" s="43" t="str">
        <x:v>Sound</x:v>
      </x:c>
      <x:c r="E44" s="43" t="str">
        <x:v>Longitudinal Sound Wave</x:v>
      </x:c>
      <x:c r="F44" s="43" t="str">
        <x:v>Class 9</x:v>
      </x:c>
      <x:c r="G44" s="43" t="n">
        <x:v>9</x:v>
      </x:c>
      <x:c r="H44" s="43" t="str">
        <x:v>experiment</x:v>
      </x:c>
      <x:c r="I44" s="43" t="str">
        <x:v>Beginner</x:v>
      </x:c>
      <x:c r="J44" s="43" t="str">
        <x:v>sound-wave-anatomy</x:v>
      </x:c>
      <x:c r="K44" s="43" t="str">
        <x:v>c9-sound</x:v>
      </x:c>
      <x:c r="L44" s="43" t="str">
        <x:v>c9-motion-force-work</x:v>
      </x:c>
      <x:c r="M44" s="42" t="n">
        <x:v>89</x:v>
      </x:c>
      <x:c r="N44" s="43" t="str">
        <x:v>Misconception repair</x:v>
      </x:c>
      <x:c r="O44" s="43" t="str">
        <x:v>Visualize longitudinal waves. • Explain echo, ultrasound, and speed of sound.</x:v>
      </x:c>
    </x:row>
    <x:row r="45">
      <x:c r="A45" s="42" t="n">
        <x:v>77</x:v>
      </x:c>
      <x:c r="B45" s="43" t="str">
        <x:v>Waves</x:v>
      </x:c>
      <x:c r="C45" s="43" t="str">
        <x:v>Motion, Force, and Work</x:v>
      </x:c>
      <x:c r="D45" s="43" t="str">
        <x:v>Sound</x:v>
      </x:c>
      <x:c r="E45" s="43" t="str">
        <x:v>Sound Pitch and Loudness</x:v>
      </x:c>
      <x:c r="F45" s="43" t="str">
        <x:v>Class 9</x:v>
      </x:c>
      <x:c r="G45" s="43" t="n">
        <x:v>9</x:v>
      </x:c>
      <x:c r="H45" s="43" t="str">
        <x:v>experiment</x:v>
      </x:c>
      <x:c r="I45" s="43" t="str">
        <x:v>Beginner</x:v>
      </x:c>
      <x:c r="J45" s="43" t="str">
        <x:v>sound-pitch-loudness</x:v>
      </x:c>
      <x:c r="K45" s="43" t="str">
        <x:v>c9-sound</x:v>
      </x:c>
      <x:c r="L45" s="43" t="str">
        <x:v>c9-motion-force-work</x:v>
      </x:c>
      <x:c r="M45" s="42" t="n">
        <x:v>95</x:v>
      </x:c>
      <x:c r="N45" s="43" t="str">
        <x:v>Misconception repair</x:v>
      </x:c>
      <x:c r="O45" s="43" t="str">
        <x:v>Visualize longitudinal waves. • Explain echo, ultrasound, and speed of sound.</x:v>
      </x:c>
    </x:row>
    <x:row r="46">
      <x:c r="A46" s="42" t="n">
        <x:v>79</x:v>
      </x:c>
      <x:c r="B46" s="43" t="str">
        <x:v>Waves</x:v>
      </x:c>
      <x:c r="C46" s="43" t="str">
        <x:v>Motion, Force, and Work</x:v>
      </x:c>
      <x:c r="D46" s="43" t="str">
        <x:v>Sound</x:v>
      </x:c>
      <x:c r="E46" s="43" t="str">
        <x:v>Wave Lab</x:v>
      </x:c>
      <x:c r="F46" s="43" t="str">
        <x:v>Class 9</x:v>
      </x:c>
      <x:c r="G46" s="43" t="n">
        <x:v>9</x:v>
      </x:c>
      <x:c r="H46" s="43" t="str">
        <x:v>experiment</x:v>
      </x:c>
      <x:c r="I46" s="43" t="str">
        <x:v>Intermediate</x:v>
      </x:c>
      <x:c r="J46" s="43" t="str">
        <x:v>wave-lab</x:v>
      </x:c>
      <x:c r="K46" s="43" t="str">
        <x:v>c9-sound</x:v>
      </x:c>
      <x:c r="L46" s="43" t="str">
        <x:v>c9-motion-force-work</x:v>
      </x:c>
      <x:c r="M46" s="42" t="n">
        <x:v>79</x:v>
      </x:c>
      <x:c r="N46" s="43" t="str">
        <x:v>Measurement skill</x:v>
      </x:c>
      <x:c r="O46" s="43" t="str">
        <x:v>Visualize longitudinal waves. • Explain echo, ultrasound, and speed of sound.</x:v>
      </x:c>
    </x:row>
    <x:row r="47">
      <x:c r="A47" s="42" t="n">
        <x:v>8</x:v>
      </x:c>
      <x:c r="B47" s="43" t="str">
        <x:v>Electricity</x:v>
      </x:c>
      <x:c r="C47" s="43" t="str">
        <x:v>Effects of Current</x:v>
      </x:c>
      <x:c r="D47" s="43" t="str">
        <x:v>Heating Effect and Electric Power</x:v>
      </x:c>
      <x:c r="E47" s="43" t="str">
        <x:v>Electric Power and Energy</x:v>
      </x:c>
      <x:c r="F47" s="43" t="str">
        <x:v>Class 10</x:v>
      </x:c>
      <x:c r="G47" s="43" t="n">
        <x:v>10</x:v>
      </x:c>
      <x:c r="H47" s="43" t="str">
        <x:v>experiment</x:v>
      </x:c>
      <x:c r="I47" s="43" t="str">
        <x:v>Beginner</x:v>
      </x:c>
      <x:c r="J47" s="43" t="str">
        <x:v>electric-power</x:v>
      </x:c>
      <x:c r="K47" s="43" t="str">
        <x:v>c10-electric-power</x:v>
      </x:c>
      <x:c r="L47" s="43" t="str">
        <x:v>c10-effects-current</x:v>
      </x:c>
      <x:c r="M47" s="42" t="n">
        <x:v>86</x:v>
      </x:c>
      <x:c r="N47" s="43" t="str">
        <x:v>Misconception repair</x:v>
      </x:c>
      <x:c r="O47" s="43" t="str">
        <x:v>Use P = VI and H = I^2Rt. • Connect power rating to daily appliances.</x:v>
      </x:c>
    </x:row>
    <x:row r="48">
      <x:c r="A48" s="42" t="n">
        <x:v>11</x:v>
      </x:c>
      <x:c r="B48" s="43" t="str">
        <x:v>Electricity</x:v>
      </x:c>
      <x:c r="C48" s="43" t="str">
        <x:v>Effects of Current</x:v>
      </x:c>
      <x:c r="D48" s="43" t="str">
        <x:v>Heating Effect and Electric Power</x:v>
      </x:c>
      <x:c r="E48" s="43" t="str">
        <x:v>Heating Effect of Current</x:v>
      </x:c>
      <x:c r="F48" s="43" t="str">
        <x:v>Class 10</x:v>
      </x:c>
      <x:c r="G48" s="43" t="n">
        <x:v>10</x:v>
      </x:c>
      <x:c r="H48" s="43" t="str">
        <x:v>experiment</x:v>
      </x:c>
      <x:c r="I48" s="43" t="str">
        <x:v>Beginner</x:v>
      </x:c>
      <x:c r="J48" s="43" t="str">
        <x:v>heating-effect-current</x:v>
      </x:c>
      <x:c r="K48" s="43" t="str">
        <x:v>c10-electric-power</x:v>
      </x:c>
      <x:c r="L48" s="43" t="str">
        <x:v>c10-effects-current</x:v>
      </x:c>
      <x:c r="M48" s="42" t="n">
        <x:v>86</x:v>
      </x:c>
      <x:c r="N48" s="43" t="str">
        <x:v>Misconception repair</x:v>
      </x:c>
      <x:c r="O48" s="43" t="str">
        <x:v>Use P = VI and H = I^2Rt. • Connect power rating to daily appliances.</x:v>
      </x:c>
    </x:row>
    <x:row r="49">
      <x:c r="A49" s="42" t="n">
        <x:v>14</x:v>
      </x:c>
      <x:c r="B49" s="43" t="str">
        <x:v>Electricity</x:v>
      </x:c>
      <x:c r="C49" s="43" t="str">
        <x:v>Effects of Current</x:v>
      </x:c>
      <x:c r="D49" s="43" t="str">
        <x:v>Ohm's Law and V-I Graph</x:v>
      </x:c>
      <x:c r="E49" s="43" t="str">
        <x:v>Ohm's Law V-I Graph</x:v>
      </x:c>
      <x:c r="F49" s="43" t="str">
        <x:v>Class 10</x:v>
      </x:c>
      <x:c r="G49" s="43" t="n">
        <x:v>10</x:v>
      </x:c>
      <x:c r="H49" s="43" t="str">
        <x:v>experiment</x:v>
      </x:c>
      <x:c r="I49" s="43" t="str">
        <x:v>Beginner</x:v>
      </x:c>
      <x:c r="J49" s="43" t="str">
        <x:v>ohms-law</x:v>
      </x:c>
      <x:c r="K49" s="43" t="str">
        <x:v>c10-ohms-law</x:v>
      </x:c>
      <x:c r="L49" s="43" t="str">
        <x:v>c10-effects-current</x:v>
      </x:c>
      <x:c r="M49" s="42" t="n">
        <x:v>95</x:v>
      </x:c>
      <x:c r="N49" s="43" t="str">
        <x:v>Misconception repair</x:v>
      </x:c>
      <x:c r="O49" s="43" t="str">
        <x:v>Manipulate voltage, current, and resistance. • Plot V-I graph and determine resistance.</x:v>
      </x:c>
    </x:row>
    <x:row r="50">
      <x:c r="A50" s="42" t="n">
        <x:v>15</x:v>
      </x:c>
      <x:c r="B50" s="43" t="str">
        <x:v>Electricity</x:v>
      </x:c>
      <x:c r="C50" s="43" t="str">
        <x:v>Effects of Current</x:v>
      </x:c>
      <x:c r="D50" s="43" t="str">
        <x:v>Series and Parallel Resistance</x:v>
      </x:c>
      <x:c r="E50" s="43" t="str">
        <x:v>Series and Parallel Resistance</x:v>
      </x:c>
      <x:c r="F50" s="43" t="str">
        <x:v>Class 10</x:v>
      </x:c>
      <x:c r="G50" s="43" t="n">
        <x:v>10</x:v>
      </x:c>
      <x:c r="H50" s="43" t="str">
        <x:v>experiment</x:v>
      </x:c>
      <x:c r="I50" s="43" t="str">
        <x:v>Intermediate</x:v>
      </x:c>
      <x:c r="J50" s="43" t="str">
        <x:v>series-parallel-resistance</x:v>
      </x:c>
      <x:c r="K50" s="43" t="str">
        <x:v>c10-series-parallel</x:v>
      </x:c>
      <x:c r="L50" s="43" t="str">
        <x:v>c10-effects-current</x:v>
      </x:c>
      <x:c r="M50" s="42" t="n">
        <x:v>89</x:v>
      </x:c>
      <x:c r="N50" s="43" t="str">
        <x:v>Misconception repair</x:v>
      </x:c>
      <x:c r="O50" s="43" t="str">
        <x:v>Build series and parallel circuits. • Calculate equivalent resistance.</x:v>
      </x:c>
    </x:row>
    <x:row r="51">
      <x:c r="A51" s="42" t="n">
        <x:v>20</x:v>
      </x:c>
      <x:c r="B51" s="43" t="str">
        <x:v>Energy</x:v>
      </x:c>
      <x:c r="C51" s="43" t="str">
        <x:v>Sources of Energy</x:v>
      </x:c>
      <x:c r="D51" s="43" t="str">
        <x:v>Conventional and Renewable Energy Sources</x:v>
      </x:c>
      <x:c r="E51" s="43" t="str">
        <x:v>Sources of Energy Comparator</x:v>
      </x:c>
      <x:c r="F51" s="43" t="str">
        <x:v>Class 10</x:v>
      </x:c>
      <x:c r="G51" s="43" t="n">
        <x:v>10</x:v>
      </x:c>
      <x:c r="H51" s="43" t="str">
        <x:v>experiment</x:v>
      </x:c>
      <x:c r="I51" s="43" t="str">
        <x:v>Beginner</x:v>
      </x:c>
      <x:c r="J51" s="43" t="str">
        <x:v>sources-of-energy</x:v>
      </x:c>
      <x:c r="K51" s="43" t="str">
        <x:v>c10-sources-energy</x:v>
      </x:c>
      <x:c r="L51" s="43" t="str">
        <x:v>c10-energy-sources</x:v>
      </x:c>
      <x:c r="M51" s="42" t="n">
        <x:v>86</x:v>
      </x:c>
      <x:c r="N51" s="43" t="str">
        <x:v>Misconception repair</x:v>
      </x:c>
      <x:c r="O51" s="43" t="str">
        <x:v>Compare output, efficiency, cost, and environmental impact. • Choose suitable energy sources for daily situations.</x:v>
      </x:c>
    </x:row>
    <x:row r="52">
      <x:c r="A52" s="42" t="n">
        <x:v>26</x:v>
      </x:c>
      <x:c r="B52" s="43" t="str">
        <x:v>Magnetism</x:v>
      </x:c>
      <x:c r="C52" s="43" t="str">
        <x:v>Effects of Current</x:v>
      </x:c>
      <x:c r="D52" s="43" t="str">
        <x:v>Magnetic Effects of Current</x:v>
      </x:c>
      <x:c r="E52" s="43" t="str">
        <x:v>Electromagnet</x:v>
      </x:c>
      <x:c r="F52" s="43" t="str">
        <x:v>Class 10</x:v>
      </x:c>
      <x:c r="G52" s="43" t="n">
        <x:v>10</x:v>
      </x:c>
      <x:c r="H52" s="43" t="str">
        <x:v>experiment</x:v>
      </x:c>
      <x:c r="I52" s="43" t="str">
        <x:v>Beginner</x:v>
      </x:c>
      <x:c r="J52" s="43" t="str">
        <x:v>electromagnet</x:v>
      </x:c>
      <x:c r="K52" s="43" t="str">
        <x:v>c10-magnetism</x:v>
      </x:c>
      <x:c r="L52" s="43" t="str">
        <x:v>c10-effects-current</x:v>
      </x:c>
      <x:c r="M52" s="42" t="n">
        <x:v>89</x:v>
      </x:c>
      <x:c r="N52" s="43" t="str">
        <x:v>Misconception repair</x:v>
      </x:c>
      <x:c r="O52" s="43" t="str">
        <x:v>Visualize field around wire, coil, and solenoid. • Apply Fleming's left-hand rule.</x:v>
      </x:c>
    </x:row>
    <x:row r="53">
      <x:c r="A53" s="42" t="n">
        <x:v>28</x:v>
      </x:c>
      <x:c r="B53" s="43" t="str">
        <x:v>Magnetism</x:v>
      </x:c>
      <x:c r="C53" s="43" t="str">
        <x:v>Effects of Current</x:v>
      </x:c>
      <x:c r="D53" s="43" t="str">
        <x:v>Magnetic Effects of Current</x:v>
      </x:c>
      <x:c r="E53" s="43" t="str">
        <x:v>Magnetic Field Around Current</x:v>
      </x:c>
      <x:c r="F53" s="43" t="str">
        <x:v>Class 10</x:v>
      </x:c>
      <x:c r="G53" s="43" t="n">
        <x:v>10</x:v>
      </x:c>
      <x:c r="H53" s="43" t="str">
        <x:v>experiment</x:v>
      </x:c>
      <x:c r="I53" s="43" t="str">
        <x:v>Intermediate</x:v>
      </x:c>
      <x:c r="J53" s="43" t="str">
        <x:v>magnetic-field-current</x:v>
      </x:c>
      <x:c r="K53" s="43" t="str">
        <x:v>c10-magnetism</x:v>
      </x:c>
      <x:c r="L53" s="43" t="str">
        <x:v>c10-effects-current</x:v>
      </x:c>
      <x:c r="M53" s="42" t="n">
        <x:v>89</x:v>
      </x:c>
      <x:c r="N53" s="43" t="str">
        <x:v>Misconception repair</x:v>
      </x:c>
      <x:c r="O53" s="43" t="str">
        <x:v>Visualize field around wire, coil, and solenoid. • Apply Fleming's left-hand rule.</x:v>
      </x:c>
    </x:row>
    <x:row r="54">
      <x:c r="A54" s="42" t="n">
        <x:v>54</x:v>
      </x:c>
      <x:c r="B54" s="43" t="str">
        <x:v>Optics</x:v>
      </x:c>
      <x:c r="C54" s="43" t="str">
        <x:v>Natural Phenomena</x:v>
      </x:c>
      <x:c r="D54" s="43" t="str">
        <x:v>Glass Slab and Prism</x:v>
      </x:c>
      <x:c r="E54" s="43" t="str">
        <x:v>Glass Slab Refraction</x:v>
      </x:c>
      <x:c r="F54" s="43" t="str">
        <x:v>Class 10</x:v>
      </x:c>
      <x:c r="G54" s="43" t="n">
        <x:v>10</x:v>
      </x:c>
      <x:c r="H54" s="43" t="str">
        <x:v>experiment</x:v>
      </x:c>
      <x:c r="I54" s="43" t="str">
        <x:v>Intermediate</x:v>
      </x:c>
      <x:c r="J54" s="43" t="str">
        <x:v>glass-slab-refraction</x:v>
      </x:c>
      <x:c r="K54" s="43" t="str">
        <x:v>c10-glass-prism</x:v>
      </x:c>
      <x:c r="L54" s="43" t="str">
        <x:v>c10-natural-phenomena</x:v>
      </x:c>
      <x:c r="M54" s="42" t="n">
        <x:v>91</x:v>
      </x:c>
      <x:c r="N54" s="43" t="str">
        <x:v>Misconception repair</x:v>
      </x:c>
      <x:c r="O54" s="43" t="str">
        <x:v>Trace refraction through glass slab. • Show dispersion through a prism.</x:v>
      </x:c>
    </x:row>
    <x:row r="55">
      <x:c r="A55" s="42" t="n">
        <x:v>60</x:v>
      </x:c>
      <x:c r="B55" s="43" t="str">
        <x:v>Optics</x:v>
      </x:c>
      <x:c r="C55" s="43" t="str">
        <x:v>Natural Phenomena</x:v>
      </x:c>
      <x:c r="D55" s="43" t="str">
        <x:v>Glass Slab and Prism</x:v>
      </x:c>
      <x:c r="E55" s="43" t="str">
        <x:v>Prism Dispersion</x:v>
      </x:c>
      <x:c r="F55" s="43" t="str">
        <x:v>Class 10</x:v>
      </x:c>
      <x:c r="G55" s="43" t="n">
        <x:v>10</x:v>
      </x:c>
      <x:c r="H55" s="43" t="str">
        <x:v>experiment</x:v>
      </x:c>
      <x:c r="I55" s="43" t="str">
        <x:v>Intermediate</x:v>
      </x:c>
      <x:c r="J55" s="43" t="str">
        <x:v>prism-dispersion</x:v>
      </x:c>
      <x:c r="K55" s="43" t="str">
        <x:v>c10-glass-prism</x:v>
      </x:c>
      <x:c r="L55" s="43" t="str">
        <x:v>c10-natural-phenomena</x:v>
      </x:c>
      <x:c r="M55" s="42" t="n">
        <x:v>86</x:v>
      </x:c>
      <x:c r="N55" s="43" t="str">
        <x:v>Misconception repair</x:v>
      </x:c>
      <x:c r="O55" s="43" t="str">
        <x:v>Trace refraction through glass slab. • Show dispersion through a prism.</x:v>
      </x:c>
    </x:row>
    <x:row r="56">
      <x:c r="A56" s="42" t="n">
        <x:v>55</x:v>
      </x:c>
      <x:c r="B56" s="43" t="str">
        <x:v>Optics</x:v>
      </x:c>
      <x:c r="C56" s="43" t="str">
        <x:v>Natural Phenomena</x:v>
      </x:c>
      <x:c r="D56" s="43" t="str">
        <x:v>Human Eye and Defects</x:v>
      </x:c>
      <x:c r="E56" s="43" t="str">
        <x:v>Human Eye and Vision Defects</x:v>
      </x:c>
      <x:c r="F56" s="43" t="str">
        <x:v>Class 10</x:v>
      </x:c>
      <x:c r="G56" s="43" t="n">
        <x:v>10</x:v>
      </x:c>
      <x:c r="H56" s="43" t="str">
        <x:v>experiment</x:v>
      </x:c>
      <x:c r="I56" s="43" t="str">
        <x:v>Beginner</x:v>
      </x:c>
      <x:c r="J56" s="43" t="str">
        <x:v>human-eye-defects</x:v>
      </x:c>
      <x:c r="K56" s="43" t="str">
        <x:v>c10-human-eye</x:v>
      </x:c>
      <x:c r="L56" s="43" t="str">
        <x:v>c10-natural-phenomena</x:v>
      </x:c>
      <x:c r="M56" s="42" t="n">
        <x:v>86</x:v>
      </x:c>
      <x:c r="N56" s="43" t="str">
        <x:v>Misconception repair</x:v>
      </x:c>
      <x:c r="O56" s="43" t="str">
        <x:v>Model myopia, hypermetropia, and correction. • Relate lens power to correction.</x:v>
      </x:c>
    </x:row>
    <x:row r="57">
      <x:c r="A57" s="42" t="n">
        <x:v>58</x:v>
      </x:c>
      <x:c r="B57" s="43" t="str">
        <x:v>Optics</x:v>
      </x:c>
      <x:c r="C57" s="43" t="str">
        <x:v>Natural Phenomena</x:v>
      </x:c>
      <x:c r="D57" s="43" t="str">
        <x:v>Reflection by Spherical Mirrors</x:v>
      </x:c>
      <x:c r="E57" s="43" t="str">
        <x:v>Mirror Formula</x:v>
      </x:c>
      <x:c r="F57" s="43" t="str">
        <x:v>Class 10</x:v>
      </x:c>
      <x:c r="G57" s="43" t="n">
        <x:v>10</x:v>
      </x:c>
      <x:c r="H57" s="43" t="str">
        <x:v>experiment</x:v>
      </x:c>
      <x:c r="I57" s="43" t="str">
        <x:v>Intermediate</x:v>
      </x:c>
      <x:c r="J57" s="43" t="str">
        <x:v>mirror-formula</x:v>
      </x:c>
      <x:c r="K57" s="43" t="str">
        <x:v>c10-mirrors</x:v>
      </x:c>
      <x:c r="L57" s="43" t="str">
        <x:v>c10-natural-phenomena</x:v>
      </x:c>
      <x:c r="M57" s="42" t="n">
        <x:v>91</x:v>
      </x:c>
      <x:c r="N57" s="43" t="str">
        <x:v>Misconception repair</x:v>
      </x:c>
      <x:c r="O57" s="43" t="str">
        <x:v>Construct ray diagrams. • Use mirror formula and magnification.</x:v>
      </x:c>
    </x:row>
    <x:row r="58">
      <x:c r="A58" s="42" t="n">
        <x:v>56</x:v>
      </x:c>
      <x:c r="B58" s="43" t="str">
        <x:v>Optics</x:v>
      </x:c>
      <x:c r="C58" s="43" t="str">
        <x:v>Natural Phenomena</x:v>
      </x:c>
      <x:c r="D58" s="43" t="str">
        <x:v>Refraction by Lenses</x:v>
      </x:c>
      <x:c r="E58" s="43" t="str">
        <x:v>Lens Formula</x:v>
      </x:c>
      <x:c r="F58" s="43" t="str">
        <x:v>Class 10</x:v>
      </x:c>
      <x:c r="G58" s="43" t="n">
        <x:v>10</x:v>
      </x:c>
      <x:c r="H58" s="43" t="str">
        <x:v>experiment</x:v>
      </x:c>
      <x:c r="I58" s="43" t="str">
        <x:v>Intermediate</x:v>
      </x:c>
      <x:c r="J58" s="43" t="str">
        <x:v>lens-formula</x:v>
      </x:c>
      <x:c r="K58" s="43" t="str">
        <x:v>c10-lenses</x:v>
      </x:c>
      <x:c r="L58" s="43" t="str">
        <x:v>c10-natural-phenomena</x:v>
      </x:c>
      <x:c r="M58" s="42" t="n">
        <x:v>91</x:v>
      </x:c>
      <x:c r="N58" s="43" t="str">
        <x:v>Misconception repair</x:v>
      </x:c>
      <x:c r="O58" s="43" t="str">
        <x:v>Compare convex and concave lens images. • Use lens formula and power.</x:v>
      </x:c>
    </x:row>
    <x:row r="59">
      <x:c r="A59" s="42" t="n">
        <x:v>1</x:v>
      </x:c>
      <x:c r="B59" s="43" t="str">
        <x:v>Astronomy</x:v>
      </x:c>
      <x:c r="C59" s="43" t="str">
        <x:v>Laws, Energy, Rotation, and Gravitation</x:v>
      </x:c>
      <x:c r="D59" s="43" t="str">
        <x:v>Gravitation</x:v>
      </x:c>
      <x:c r="E59" s="43" t="str">
        <x:v>Satellite Orbit and Escape Speed</x:v>
      </x:c>
      <x:c r="F59" s="43" t="str">
        <x:v>Class 11</x:v>
      </x:c>
      <x:c r="G59" s="43" t="n">
        <x:v>11</x:v>
      </x:c>
      <x:c r="H59" s="43" t="str">
        <x:v>experiment</x:v>
      </x:c>
      <x:c r="I59" s="43" t="str">
        <x:v>Intermediate</x:v>
      </x:c>
      <x:c r="J59" s="43" t="str">
        <x:v>satellite-orbit</x:v>
      </x:c>
      <x:c r="K59" s="43" t="str">
        <x:v>c11-gravitation</x:v>
      </x:c>
      <x:c r="L59" s="43" t="str">
        <x:v>c11-mechanics-core</x:v>
      </x:c>
      <x:c r="M59" s="42" t="n">
        <x:v>86</x:v>
      </x:c>
      <x:c r="N59" s="43" t="str">
        <x:v>Misconception repair</x:v>
      </x:c>
      <x:c r="O59" s="43" t="str">
        <x:v>Use Kepler's laws. • Compare orbital speed, escape speed, and satellite energy.</x:v>
      </x:c>
    </x:row>
    <x:row r="60">
      <x:c r="A60" s="42" t="n">
        <x:v>21</x:v>
      </x:c>
      <x:c r="B60" s="43" t="str">
        <x:v>Fluid Mechanics</x:v>
      </x:c>
      <x:c r="C60" s="43" t="str">
        <x:v>Matter, Thermal Physics, Oscillations, and Waves</x:v>
      </x:c>
      <x:c r="D60" s="43" t="str">
        <x:v>Solids and Fluids</x:v>
      </x:c>
      <x:c r="E60" s="43" t="str">
        <x:v>Bernoulli Fluid Flow</x:v>
      </x:c>
      <x:c r="F60" s="43" t="str">
        <x:v>Class 11</x:v>
      </x:c>
      <x:c r="G60" s="43" t="n">
        <x:v>11</x:v>
      </x:c>
      <x:c r="H60" s="43" t="str">
        <x:v>experiment</x:v>
      </x:c>
      <x:c r="I60" s="43" t="str">
        <x:v>Intermediate</x:v>
      </x:c>
      <x:c r="J60" s="43" t="str">
        <x:v>bernoulli-fluid-flow</x:v>
      </x:c>
      <x:c r="K60" s="43" t="str">
        <x:v>c11-solids-fluids</x:v>
      </x:c>
      <x:c r="L60" s="43" t="str">
        <x:v>c11-matter-thermal-waves</x:v>
      </x:c>
      <x:c r="M60" s="42" t="n">
        <x:v>86</x:v>
      </x:c>
      <x:c r="N60" s="43" t="str">
        <x:v>Misconception repair</x:v>
      </x:c>
      <x:c r="O60" s="43" t="str">
        <x:v>Model elasticity, viscosity, Bernoulli flow, and surface tension. • Predict fluid pressure and lift.</x:v>
      </x:c>
    </x:row>
    <x:row r="61">
      <x:c r="A61" s="42" t="n">
        <x:v>22</x:v>
      </x:c>
      <x:c r="B61" s="43" t="str">
        <x:v>Fluid Mechanics</x:v>
      </x:c>
      <x:c r="C61" s="43" t="str">
        <x:v>Matter, Thermal Physics, Oscillations, and Waves</x:v>
      </x:c>
      <x:c r="D61" s="43" t="str">
        <x:v>Solids and Fluids</x:v>
      </x:c>
      <x:c r="E61" s="43" t="str">
        <x:v>Buoyancy</x:v>
      </x:c>
      <x:c r="F61" s="43" t="str">
        <x:v>Class 11</x:v>
      </x:c>
      <x:c r="G61" s="43" t="n">
        <x:v>11</x:v>
      </x:c>
      <x:c r="H61" s="43" t="str">
        <x:v>experiment</x:v>
      </x:c>
      <x:c r="I61" s="43" t="str">
        <x:v>Beginner</x:v>
      </x:c>
      <x:c r="J61" s="43" t="str">
        <x:v>buoyancy</x:v>
      </x:c>
      <x:c r="K61" s="43" t="str">
        <x:v>c11-solids-fluids</x:v>
      </x:c>
      <x:c r="L61" s="43" t="str">
        <x:v>c11-matter-thermal-waves</x:v>
      </x:c>
      <x:c r="M61" s="42" t="n">
        <x:v>83</x:v>
      </x:c>
      <x:c r="N61" s="43" t="str">
        <x:v>Measurement skill</x:v>
      </x:c>
      <x:c r="O61" s="43" t="str">
        <x:v>Model elasticity, viscosity, Bernoulli flow, and surface tension. • Predict fluid pressure and lift.</x:v>
      </x:c>
    </x:row>
    <x:row r="62">
      <x:c r="A62" s="42" t="n">
        <x:v>24</x:v>
      </x:c>
      <x:c r="B62" s="43" t="str">
        <x:v>Fluid Mechanics</x:v>
      </x:c>
      <x:c r="C62" s="43" t="str">
        <x:v>Matter, Thermal Physics, Oscillations, and Waves</x:v>
      </x:c>
      <x:c r="D62" s="43" t="str">
        <x:v>Solids and Fluids</x:v>
      </x:c>
      <x:c r="E62" s="43" t="str">
        <x:v>Fluid Pressure with Depth</x:v>
      </x:c>
      <x:c r="F62" s="43" t="str">
        <x:v>Class 11</x:v>
      </x:c>
      <x:c r="G62" s="43" t="n">
        <x:v>11</x:v>
      </x:c>
      <x:c r="H62" s="43" t="str">
        <x:v>experiment</x:v>
      </x:c>
      <x:c r="I62" s="43" t="str">
        <x:v>Beginner</x:v>
      </x:c>
      <x:c r="J62" s="43" t="str">
        <x:v>fluid-pressure</x:v>
      </x:c>
      <x:c r="K62" s="43" t="str">
        <x:v>c11-solids-fluids</x:v>
      </x:c>
      <x:c r="L62" s="43" t="str">
        <x:v>c11-matter-thermal-waves</x:v>
      </x:c>
      <x:c r="M62" s="42" t="n">
        <x:v>86</x:v>
      </x:c>
      <x:c r="N62" s="43" t="str">
        <x:v>Misconception repair</x:v>
      </x:c>
      <x:c r="O62" s="43" t="str">
        <x:v>Model elasticity, viscosity, Bernoulli flow, and surface tension. • Predict fluid pressure and lift.</x:v>
      </x:c>
    </x:row>
    <x:row r="63">
      <x:c r="A63" s="42" t="n">
        <x:v>38</x:v>
      </x:c>
      <x:c r="B63" s="43" t="str">
        <x:v>Mechanics</x:v>
      </x:c>
      <x:c r="C63" s="43" t="str">
        <x:v>Matter, Thermal Physics, Oscillations, and Waves</x:v>
      </x:c>
      <x:c r="D63" s="43" t="str">
        <x:v>Solids and Fluids</x:v>
      </x:c>
      <x:c r="E63" s="43" t="str">
        <x:v>Hooke's Law</x:v>
      </x:c>
      <x:c r="F63" s="43" t="str">
        <x:v>Class 11</x:v>
      </x:c>
      <x:c r="G63" s="43" t="n">
        <x:v>11</x:v>
      </x:c>
      <x:c r="H63" s="43" t="str">
        <x:v>experiment</x:v>
      </x:c>
      <x:c r="I63" s="43" t="str">
        <x:v>Intermediate</x:v>
      </x:c>
      <x:c r="J63" s="43" t="str">
        <x:v>hooke-s-law</x:v>
      </x:c>
      <x:c r="K63" s="43" t="str">
        <x:v>c11-solids-fluids</x:v>
      </x:c>
      <x:c r="L63" s="43" t="str">
        <x:v>c11-matter-thermal-waves</x:v>
      </x:c>
      <x:c r="M63" s="42" t="n">
        <x:v>90</x:v>
      </x:c>
      <x:c r="N63" s="43" t="str">
        <x:v>Misconception repair</x:v>
      </x:c>
      <x:c r="O63" s="43" t="str">
        <x:v>Model elasticity, viscosity, Bernoulli flow, and surface tension. • Predict fluid pressure and lift.</x:v>
      </x:c>
    </x:row>
    <x:row r="64">
      <x:c r="A64" s="42" t="n">
        <x:v>30</x:v>
      </x:c>
      <x:c r="B64" s="43" t="str">
        <x:v>Measurement</x:v>
      </x:c>
      <x:c r="C64" s="43" t="str">
        <x:v>Measurement and Kinematics</x:v>
      </x:c>
      <x:c r="D64" s="43" t="str">
        <x:v>Units, Dimensions, and Errors</x:v>
      </x:c>
      <x:c r="E64" s="43" t="str">
        <x:v>Measurement, Error, and Significant Figures</x:v>
      </x:c>
      <x:c r="F64" s="43" t="str">
        <x:v>Class 11</x:v>
      </x:c>
      <x:c r="G64" s="43" t="n">
        <x:v>11</x:v>
      </x:c>
      <x:c r="H64" s="43" t="str">
        <x:v>experiment</x:v>
      </x:c>
      <x:c r="I64" s="43" t="str">
        <x:v>Beginner</x:v>
      </x:c>
      <x:c r="J64" s="43" t="str">
        <x:v>measurement-errors</x:v>
      </x:c>
      <x:c r="K64" s="43" t="str">
        <x:v>c11-units-errors</x:v>
      </x:c>
      <x:c r="L64" s="43" t="str">
        <x:v>c11-measurement-kinematics</x:v>
      </x:c>
      <x:c r="M64" s="42" t="n">
        <x:v>86</x:v>
      </x:c>
      <x:c r="N64" s="43" t="str">
        <x:v>Misconception repair</x:v>
      </x:c>
      <x:c r="O64" s="43" t="str">
        <x:v>Use SI units and dimensions. • Estimate uncertainty and significant figures.</x:v>
      </x:c>
    </x:row>
    <x:row r="65">
      <x:c r="A65" s="42" t="n">
        <x:v>35</x:v>
      </x:c>
      <x:c r="B65" s="43" t="str">
        <x:v>Mechanics</x:v>
      </x:c>
      <x:c r="C65" s="43" t="str">
        <x:v>Laws, Energy, Rotation, and Gravitation</x:v>
      </x:c>
      <x:c r="D65" s="43" t="str">
        <x:v>Laws of Motion</x:v>
      </x:c>
      <x:c r="E65" s="43" t="str">
        <x:v>Elastic Collision</x:v>
      </x:c>
      <x:c r="F65" s="43" t="str">
        <x:v>Class 11</x:v>
      </x:c>
      <x:c r="G65" s="43" t="n">
        <x:v>11</x:v>
      </x:c>
      <x:c r="H65" s="43" t="str">
        <x:v>experiment</x:v>
      </x:c>
      <x:c r="I65" s="43" t="str">
        <x:v>Intermediate</x:v>
      </x:c>
      <x:c r="J65" s="43" t="str">
        <x:v>elastic-collision</x:v>
      </x:c>
      <x:c r="K65" s="43" t="str">
        <x:v>c11-laws-motion</x:v>
      </x:c>
      <x:c r="L65" s="43" t="str">
        <x:v>c11-mechanics-core</x:v>
      </x:c>
      <x:c r="M65" s="42" t="n">
        <x:v>90</x:v>
      </x:c>
      <x:c r="N65" s="43" t="str">
        <x:v>Misconception repair</x:v>
      </x:c>
      <x:c r="O65" s="43" t="str">
        <x:v>Apply Newton's laws with friction and circular motion. • Use impulse and momentum conservation.</x:v>
      </x:c>
    </x:row>
    <x:row r="66">
      <x:c r="A66" s="42" t="n">
        <x:v>37</x:v>
      </x:c>
      <x:c r="B66" s="43" t="str">
        <x:v>Mechanics</x:v>
      </x:c>
      <x:c r="C66" s="43" t="str">
        <x:v>Laws, Energy, Rotation, and Gravitation</x:v>
      </x:c>
      <x:c r="D66" s="43" t="str">
        <x:v>Laws of Motion</x:v>
      </x:c>
      <x:c r="E66" s="43" t="str">
        <x:v>Friction</x:v>
      </x:c>
      <x:c r="F66" s="43" t="str">
        <x:v>Class 11</x:v>
      </x:c>
      <x:c r="G66" s="43" t="n">
        <x:v>11</x:v>
      </x:c>
      <x:c r="H66" s="43" t="str">
        <x:v>experiment</x:v>
      </x:c>
      <x:c r="I66" s="43" t="str">
        <x:v>Beginner</x:v>
      </x:c>
      <x:c r="J66" s="43" t="str">
        <x:v>friction</x:v>
      </x:c>
      <x:c r="K66" s="43" t="str">
        <x:v>c11-laws-motion</x:v>
      </x:c>
      <x:c r="L66" s="43" t="str">
        <x:v>c11-mechanics-core</x:v>
      </x:c>
      <x:c r="M66" s="42" t="n">
        <x:v>90</x:v>
      </x:c>
      <x:c r="N66" s="43" t="str">
        <x:v>Misconception repair</x:v>
      </x:c>
      <x:c r="O66" s="43" t="str">
        <x:v>Apply Newton's laws with friction and circular motion. • Use impulse and momentum conservation.</x:v>
      </x:c>
    </x:row>
    <x:row r="67">
      <x:c r="A67" s="42" t="n">
        <x:v>41</x:v>
      </x:c>
      <x:c r="B67" s="43" t="str">
        <x:v>Mechanics</x:v>
      </x:c>
      <x:c r="C67" s="43" t="str">
        <x:v>Laws, Energy, Rotation, and Gravitation</x:v>
      </x:c>
      <x:c r="D67" s="43" t="str">
        <x:v>Laws of Motion</x:v>
      </x:c>
      <x:c r="E67" s="43" t="str">
        <x:v>Newton's Second Law</x:v>
      </x:c>
      <x:c r="F67" s="43" t="str">
        <x:v>Class 11</x:v>
      </x:c>
      <x:c r="G67" s="43" t="n">
        <x:v>11</x:v>
      </x:c>
      <x:c r="H67" s="43" t="str">
        <x:v>experiment</x:v>
      </x:c>
      <x:c r="I67" s="43" t="str">
        <x:v>Beginner</x:v>
      </x:c>
      <x:c r="J67" s="43" t="str">
        <x:v>newton-s-second-law</x:v>
      </x:c>
      <x:c r="K67" s="43" t="str">
        <x:v>c11-laws-motion</x:v>
      </x:c>
      <x:c r="L67" s="43" t="str">
        <x:v>c11-mechanics-core</x:v>
      </x:c>
      <x:c r="M67" s="42" t="n">
        <x:v>90</x:v>
      </x:c>
      <x:c r="N67" s="43" t="str">
        <x:v>Misconception repair</x:v>
      </x:c>
      <x:c r="O67" s="43" t="str">
        <x:v>Apply Newton's laws with friction and circular motion. • Use impulse and momentum conservation.</x:v>
      </x:c>
    </x:row>
    <x:row r="68">
      <x:c r="A68" s="42" t="n">
        <x:v>32</x:v>
      </x:c>
      <x:c r="B68" s="43" t="str">
        <x:v>Mechanics</x:v>
      </x:c>
      <x:c r="C68" s="43" t="str">
        <x:v>Measurement and Kinematics</x:v>
      </x:c>
      <x:c r="D68" s="43" t="str">
        <x:v>Motion in a Plane</x:v>
      </x:c>
      <x:c r="E68" s="43" t="str">
        <x:v>Circular Motion</x:v>
      </x:c>
      <x:c r="F68" s="43" t="str">
        <x:v>Class 11</x:v>
      </x:c>
      <x:c r="G68" s="43" t="n">
        <x:v>11</x:v>
      </x:c>
      <x:c r="H68" s="43" t="str">
        <x:v>experiment</x:v>
      </x:c>
      <x:c r="I68" s="43" t="str">
        <x:v>Intermediate</x:v>
      </x:c>
      <x:c r="J68" s="43" t="str">
        <x:v>circular-motion</x:v>
      </x:c>
      <x:c r="K68" s="43" t="str">
        <x:v>c11-plane-motion</x:v>
      </x:c>
      <x:c r="L68" s="43" t="str">
        <x:v>c11-measurement-kinematics</x:v>
      </x:c>
      <x:c r="M68" s="42" t="n">
        <x:v>90</x:v>
      </x:c>
      <x:c r="N68" s="43" t="str">
        <x:v>Misconception repair</x:v>
      </x:c>
      <x:c r="O68" s="43" t="str">
        <x:v>Resolve vectors. • Model projectile and circular motion.</x:v>
      </x:c>
    </x:row>
    <x:row r="69">
      <x:c r="A69" s="42" t="n">
        <x:v>42</x:v>
      </x:c>
      <x:c r="B69" s="43" t="str">
        <x:v>Mechanics</x:v>
      </x:c>
      <x:c r="C69" s="43" t="str">
        <x:v>Measurement and Kinematics</x:v>
      </x:c>
      <x:c r="D69" s="43" t="str">
        <x:v>Motion in a Plane</x:v>
      </x:c>
      <x:c r="E69" s="43" t="str">
        <x:v>Projectile Motion</x:v>
      </x:c>
      <x:c r="F69" s="43" t="str">
        <x:v>Class 11</x:v>
      </x:c>
      <x:c r="G69" s="43" t="n">
        <x:v>11</x:v>
      </x:c>
      <x:c r="H69" s="43" t="str">
        <x:v>experiment</x:v>
      </x:c>
      <x:c r="I69" s="43" t="str">
        <x:v>Beginner</x:v>
      </x:c>
      <x:c r="J69" s="43" t="str">
        <x:v>projectile-motion</x:v>
      </x:c>
      <x:c r="K69" s="43" t="str">
        <x:v>c11-plane-motion</x:v>
      </x:c>
      <x:c r="L69" s="43" t="str">
        <x:v>c11-measurement-kinematics</x:v>
      </x:c>
      <x:c r="M69" s="42" t="n">
        <x:v>95</x:v>
      </x:c>
      <x:c r="N69" s="43" t="str">
        <x:v>Misconception repair</x:v>
      </x:c>
      <x:c r="O69" s="43" t="str">
        <x:v>Resolve vectors. • Model projectile and circular motion.</x:v>
      </x:c>
    </x:row>
    <x:row r="70">
      <x:c r="A70" s="42" t="n">
        <x:v>46</x:v>
      </x:c>
      <x:c r="B70" s="43" t="str">
        <x:v>Mechanics</x:v>
      </x:c>
      <x:c r="C70" s="43" t="str">
        <x:v>Measurement and Kinematics</x:v>
      </x:c>
      <x:c r="D70" s="43" t="str">
        <x:v>Motion in a Plane</x:v>
      </x:c>
      <x:c r="E70" s="43" t="str">
        <x:v>Vector Resolution</x:v>
      </x:c>
      <x:c r="F70" s="43" t="str">
        <x:v>Class 11</x:v>
      </x:c>
      <x:c r="G70" s="43" t="n">
        <x:v>11</x:v>
      </x:c>
      <x:c r="H70" s="43" t="str">
        <x:v>experiment</x:v>
      </x:c>
      <x:c r="I70" s="43" t="str">
        <x:v>Intermediate</x:v>
      </x:c>
      <x:c r="J70" s="43" t="str">
        <x:v>vector-resolution</x:v>
      </x:c>
      <x:c r="K70" s="43" t="str">
        <x:v>c11-plane-motion</x:v>
      </x:c>
      <x:c r="L70" s="43" t="str">
        <x:v>c11-measurement-kinematics</x:v>
      </x:c>
      <x:c r="M70" s="42" t="n">
        <x:v>86</x:v>
      </x:c>
      <x:c r="N70" s="43" t="str">
        <x:v>Misconception repair</x:v>
      </x:c>
      <x:c r="O70" s="43" t="str">
        <x:v>Resolve vectors. • Model projectile and circular motion.</x:v>
      </x:c>
    </x:row>
    <x:row r="71">
      <x:c r="A71" s="42" t="n">
        <x:v>36</x:v>
      </x:c>
      <x:c r="B71" s="43" t="str">
        <x:v>Mechanics</x:v>
      </x:c>
      <x:c r="C71" s="43" t="str">
        <x:v>Measurement and Kinematics</x:v>
      </x:c>
      <x:c r="D71" s="43" t="str">
        <x:v>Motion in a Straight Line</x:v>
      </x:c>
      <x:c r="E71" s="43" t="str">
        <x:v>Free Fall</x:v>
      </x:c>
      <x:c r="F71" s="43" t="str">
        <x:v>Class 11</x:v>
      </x:c>
      <x:c r="G71" s="43" t="n">
        <x:v>11</x:v>
      </x:c>
      <x:c r="H71" s="43" t="str">
        <x:v>experiment</x:v>
      </x:c>
      <x:c r="I71" s="43" t="str">
        <x:v>Beginner</x:v>
      </x:c>
      <x:c r="J71" s="43" t="str">
        <x:v>free-fall</x:v>
      </x:c>
      <x:c r="K71" s="43" t="str">
        <x:v>c11-straight-line</x:v>
      </x:c>
      <x:c r="L71" s="43" t="str">
        <x:v>c11-measurement-kinematics</x:v>
      </x:c>
      <x:c r="M71" s="42" t="n">
        <x:v>95</x:v>
      </x:c>
      <x:c r="N71" s="43" t="str">
        <x:v>Misconception repair</x:v>
      </x:c>
      <x:c r="O71" s="43" t="str">
        <x:v>Connect calculus and graphs to motion. • Solve uniformly accelerated motion.</x:v>
      </x:c>
    </x:row>
    <x:row r="72">
      <x:c r="A72" s="42" t="n">
        <x:v>45</x:v>
      </x:c>
      <x:c r="B72" s="43" t="str">
        <x:v>Mechanics</x:v>
      </x:c>
      <x:c r="C72" s="43" t="str">
        <x:v>Measurement and Kinematics</x:v>
      </x:c>
      <x:c r="D72" s="43" t="str">
        <x:v>Motion in a Straight Line</x:v>
      </x:c>
      <x:c r="E72" s="43" t="str">
        <x:v>Uniform Motion</x:v>
      </x:c>
      <x:c r="F72" s="43" t="str">
        <x:v>Class 11</x:v>
      </x:c>
      <x:c r="G72" s="43" t="n">
        <x:v>11</x:v>
      </x:c>
      <x:c r="H72" s="43" t="str">
        <x:v>experiment</x:v>
      </x:c>
      <x:c r="I72" s="43" t="str">
        <x:v>Beginner</x:v>
      </x:c>
      <x:c r="J72" s="43" t="str">
        <x:v>uniform-motion</x:v>
      </x:c>
      <x:c r="K72" s="43" t="str">
        <x:v>c11-straight-line</x:v>
      </x:c>
      <x:c r="L72" s="43" t="str">
        <x:v>c11-measurement-kinematics</x:v>
      </x:c>
      <x:c r="M72" s="42" t="n">
        <x:v>90</x:v>
      </x:c>
      <x:c r="N72" s="43" t="str">
        <x:v>Misconception repair</x:v>
      </x:c>
      <x:c r="O72" s="43" t="str">
        <x:v>Connect calculus and graphs to motion. • Solve uniformly accelerated motion.</x:v>
      </x:c>
    </x:row>
    <x:row r="73">
      <x:c r="A73" s="42" t="n">
        <x:v>43</x:v>
      </x:c>
      <x:c r="B73" s="43" t="str">
        <x:v>Mechanics</x:v>
      </x:c>
      <x:c r="C73" s="43" t="str">
        <x:v>Laws, Energy, Rotation, and Gravitation</x:v>
      </x:c>
      <x:c r="D73" s="43" t="str">
        <x:v>Rotational Motion</x:v>
      </x:c>
      <x:c r="E73" s="43" t="str">
        <x:v>Rotational Dynamics</x:v>
      </x:c>
      <x:c r="F73" s="43" t="str">
        <x:v>Class 11</x:v>
      </x:c>
      <x:c r="G73" s="43" t="n">
        <x:v>11</x:v>
      </x:c>
      <x:c r="H73" s="43" t="str">
        <x:v>experiment</x:v>
      </x:c>
      <x:c r="I73" s="43" t="str">
        <x:v>Intermediate</x:v>
      </x:c>
      <x:c r="J73" s="43" t="str">
        <x:v>rotational-dynamics</x:v>
      </x:c>
      <x:c r="K73" s="43" t="str">
        <x:v>c11-rotation</x:v>
      </x:c>
      <x:c r="L73" s="43" t="str">
        <x:v>c11-mechanics-core</x:v>
      </x:c>
      <x:c r="M73" s="42" t="n">
        <x:v>86</x:v>
      </x:c>
      <x:c r="N73" s="43" t="str">
        <x:v>Misconception repair</x:v>
      </x:c>
      <x:c r="O73" s="43" t="str">
        <x:v>Relate torque, angular momentum, and moment of inertia. • Compare linear and rotational motion.</x:v>
      </x:c>
    </x:row>
    <x:row r="74">
      <x:c r="A74" s="42" t="n">
        <x:v>33</x:v>
      </x:c>
      <x:c r="B74" s="43" t="str">
        <x:v>Mechanics</x:v>
      </x:c>
      <x:c r="C74" s="43" t="str">
        <x:v>Laws, Energy, Rotation, and Gravitation</x:v>
      </x:c>
      <x:c r="D74" s="43" t="str">
        <x:v>Work, Energy, Power, and Collisions</x:v>
      </x:c>
      <x:c r="E74" s="43" t="str">
        <x:v>Conservation of Energy</x:v>
      </x:c>
      <x:c r="F74" s="43" t="str">
        <x:v>Class 11</x:v>
      </x:c>
      <x:c r="G74" s="43" t="n">
        <x:v>11</x:v>
      </x:c>
      <x:c r="H74" s="43" t="str">
        <x:v>experiment</x:v>
      </x:c>
      <x:c r="I74" s="43" t="str">
        <x:v>Intermediate</x:v>
      </x:c>
      <x:c r="J74" s="43" t="str">
        <x:v>conservation-of-energy</x:v>
      </x:c>
      <x:c r="K74" s="43" t="str">
        <x:v>c11-energy-collisions</x:v>
      </x:c>
      <x:c r="L74" s="43" t="str">
        <x:v>c11-mechanics-core</x:v>
      </x:c>
      <x:c r="M74" s="42" t="n">
        <x:v>90</x:v>
      </x:c>
      <x:c r="N74" s="43" t="str">
        <x:v>Misconception repair</x:v>
      </x:c>
      <x:c r="O74" s="43" t="str">
        <x:v>Apply work-energy theorem. • Compare elastic and inelastic collisions.</x:v>
      </x:c>
    </x:row>
    <x:row r="75">
      <x:c r="A75" s="42" t="n">
        <x:v>35</x:v>
      </x:c>
      <x:c r="B75" s="43" t="str">
        <x:v>Mechanics</x:v>
      </x:c>
      <x:c r="C75" s="43" t="str">
        <x:v>Laws, Energy, Rotation, and Gravitation</x:v>
      </x:c>
      <x:c r="D75" s="43" t="str">
        <x:v>Work, Energy, Power, and Collisions</x:v>
      </x:c>
      <x:c r="E75" s="43" t="str">
        <x:v>Elastic Collision</x:v>
      </x:c>
      <x:c r="F75" s="43" t="str">
        <x:v>Class 11</x:v>
      </x:c>
      <x:c r="G75" s="43" t="n">
        <x:v>11</x:v>
      </x:c>
      <x:c r="H75" s="43" t="str">
        <x:v>experiment</x:v>
      </x:c>
      <x:c r="I75" s="43" t="str">
        <x:v>Intermediate</x:v>
      </x:c>
      <x:c r="J75" s="43" t="str">
        <x:v>elastic-collision</x:v>
      </x:c>
      <x:c r="K75" s="43" t="str">
        <x:v>c11-energy-collisions</x:v>
      </x:c>
      <x:c r="L75" s="43" t="str">
        <x:v>c11-mechanics-core</x:v>
      </x:c>
      <x:c r="M75" s="42" t="n">
        <x:v>90</x:v>
      </x:c>
      <x:c r="N75" s="43" t="str">
        <x:v>Misconception repair</x:v>
      </x:c>
      <x:c r="O75" s="43" t="str">
        <x:v>Apply work-energy theorem. • Compare elastic and inelastic collisions.</x:v>
      </x:c>
    </x:row>
    <x:row r="76">
      <x:c r="A76" s="42" t="n">
        <x:v>64</x:v>
      </x:c>
      <x:c r="B76" s="43" t="str">
        <x:v>Oscillations</x:v>
      </x:c>
      <x:c r="C76" s="43" t="str">
        <x:v>Matter, Thermal Physics, Oscillations, and Waves</x:v>
      </x:c>
      <x:c r="D76" s="43" t="str">
        <x:v>Chaotic and Coupled Oscillators</x:v>
      </x:c>
      <x:c r="E76" s="43" t="str">
        <x:v>Chaotic and Coupled Oscillators</x:v>
      </x:c>
      <x:c r="F76" s="43" t="str">
        <x:v>Class 11</x:v>
      </x:c>
      <x:c r="G76" s="43" t="n">
        <x:v>11</x:v>
      </x:c>
      <x:c r="H76" s="43" t="str">
        <x:v>experiment</x:v>
      </x:c>
      <x:c r="I76" s="43" t="str">
        <x:v>Advanced</x:v>
      </x:c>
      <x:c r="J76" s="43" t="str">
        <x:v>chaotic-coupled-oscillators</x:v>
      </x:c>
      <x:c r="K76" s="43" t="str">
        <x:v>c11-chaos-pendulum</x:v>
      </x:c>
      <x:c r="L76" s="43" t="str">
        <x:v>c11-matter-thermal-waves</x:v>
      </x:c>
      <x:c r="M76" s="42" t="n">
        <x:v>86</x:v>
      </x:c>
      <x:c r="N76" s="43" t="str">
        <x:v>Misconception repair</x:v>
      </x:c>
      <x:c r="O76" s="43" t="str">
        <x:v>Show sensitive dependence on initial conditions in a double pendulum. • Contrast regular and chaotic motion.</x:v>
      </x:c>
    </x:row>
    <x:row r="77">
      <x:c r="A77" s="42" t="n">
        <x:v>71</x:v>
      </x:c>
      <x:c r="B77" s="43" t="str">
        <x:v>Waves</x:v>
      </x:c>
      <x:c r="C77" s="43" t="str">
        <x:v>Matter, Thermal Physics, Oscillations, and Waves</x:v>
      </x:c>
      <x:c r="D77" s="43" t="str">
        <x:v>Resonance and Forced Oscillations</x:v>
      </x:c>
      <x:c r="E77" s="43" t="str">
        <x:v>Chladni Plate</x:v>
      </x:c>
      <x:c r="F77" s="43" t="str">
        <x:v>Class 11</x:v>
      </x:c>
      <x:c r="G77" s="43" t="n">
        <x:v>11</x:v>
      </x:c>
      <x:c r="H77" s="43" t="str">
        <x:v>experiment</x:v>
      </x:c>
      <x:c r="I77" s="43" t="str">
        <x:v>Advanced</x:v>
      </x:c>
      <x:c r="J77" s="43" t="str">
        <x:v>chladni-plate</x:v>
      </x:c>
      <x:c r="K77" s="43" t="str">
        <x:v>c11-resonance</x:v>
      </x:c>
      <x:c r="L77" s="43" t="str">
        <x:v>c11-matter-thermal-waves</x:v>
      </x:c>
      <x:c r="M77" s="42" t="n">
        <x:v>76</x:v>
      </x:c>
      <x:c r="N77" s="43" t="str">
        <x:v>Transfer practice</x:v>
      </x:c>
      <x:c r="O77" s="43" t="str">
        <x:v>Explain resonance and damping. • Identify natural frequency. • Model forced oscillations and energy transfer.</x:v>
      </x:c>
    </x:row>
    <x:row r="78">
      <x:c r="A78" s="42" t="n">
        <x:v>78</x:v>
      </x:c>
      <x:c r="B78" s="43" t="str">
        <x:v>Waves</x:v>
      </x:c>
      <x:c r="C78" s="43" t="str">
        <x:v>Matter, Thermal Physics, Oscillations, and Waves</x:v>
      </x:c>
      <x:c r="D78" s="43" t="str">
        <x:v>Resonance and Forced Oscillations</x:v>
      </x:c>
      <x:c r="E78" s="43" t="str">
        <x:v>Spring-Mass SHM</x:v>
      </x:c>
      <x:c r="F78" s="43" t="str">
        <x:v>Class 11</x:v>
      </x:c>
      <x:c r="G78" s="43" t="n">
        <x:v>11</x:v>
      </x:c>
      <x:c r="H78" s="43" t="str">
        <x:v>experiment</x:v>
      </x:c>
      <x:c r="I78" s="43" t="str">
        <x:v>Intermediate</x:v>
      </x:c>
      <x:c r="J78" s="43" t="str">
        <x:v>shm-spring</x:v>
      </x:c>
      <x:c r="K78" s="43" t="str">
        <x:v>c11-resonance</x:v>
      </x:c>
      <x:c r="L78" s="43" t="str">
        <x:v>c11-matter-thermal-waves</x:v>
      </x:c>
      <x:c r="M78" s="42" t="n">
        <x:v>95</x:v>
      </x:c>
      <x:c r="N78" s="43" t="str">
        <x:v>Misconception repair</x:v>
      </x:c>
      <x:c r="O78" s="43" t="str">
        <x:v>Explain resonance and damping. • Identify natural frequency. • Model forced oscillations and energy transfer.</x:v>
      </x:c>
    </x:row>
    <x:row r="79">
      <x:c r="A79" s="42" t="n">
        <x:v>44</x:v>
      </x:c>
      <x:c r="B79" s="43" t="str">
        <x:v>Mechanics</x:v>
      </x:c>
      <x:c r="C79" s="43" t="str">
        <x:v>Matter, Thermal Physics, Oscillations, and Waves</x:v>
      </x:c>
      <x:c r="D79" s="43" t="str">
        <x:v>Simple Harmonic Motion - Pendulum and Spring</x:v>
      </x:c>
      <x:c r="E79" s="43" t="str">
        <x:v>Simple Pendulum</x:v>
      </x:c>
      <x:c r="F79" s="43" t="str">
        <x:v>Class 11</x:v>
      </x:c>
      <x:c r="G79" s="43" t="n">
        <x:v>11</x:v>
      </x:c>
      <x:c r="H79" s="43" t="str">
        <x:v>experiment</x:v>
      </x:c>
      <x:c r="I79" s="43" t="str">
        <x:v>Intermediate</x:v>
      </x:c>
      <x:c r="J79" s="43" t="str">
        <x:v>simple-pendulum</x:v>
      </x:c>
      <x:c r="K79" s="43" t="str">
        <x:v>c11-shm-pendulum</x:v>
      </x:c>
      <x:c r="L79" s="43" t="str">
        <x:v>c11-matter-thermal-waves</x:v>
      </x:c>
      <x:c r="M79" s="42" t="n">
        <x:v>90</x:v>
      </x:c>
      <x:c r="N79" s="43" t="str">
        <x:v>Misconception repair</x:v>
      </x:c>
      <x:c r="O79" s="43" t="str">
        <x:v>Describe SHM with period, frequency, and amplitude. • Compare pendulum and spring-mass oscillators.</x:v>
      </x:c>
    </x:row>
    <x:row r="80">
      <x:c r="A80" s="42" t="n">
        <x:v>78</x:v>
      </x:c>
      <x:c r="B80" s="43" t="str">
        <x:v>Waves</x:v>
      </x:c>
      <x:c r="C80" s="43" t="str">
        <x:v>Matter, Thermal Physics, Oscillations, and Waves</x:v>
      </x:c>
      <x:c r="D80" s="43" t="str">
        <x:v>Simple Harmonic Motion - Pendulum and Spring</x:v>
      </x:c>
      <x:c r="E80" s="43" t="str">
        <x:v>Spring-Mass SHM</x:v>
      </x:c>
      <x:c r="F80" s="43" t="str">
        <x:v>Class 11</x:v>
      </x:c>
      <x:c r="G80" s="43" t="n">
        <x:v>11</x:v>
      </x:c>
      <x:c r="H80" s="43" t="str">
        <x:v>experiment</x:v>
      </x:c>
      <x:c r="I80" s="43" t="str">
        <x:v>Intermediate</x:v>
      </x:c>
      <x:c r="J80" s="43" t="str">
        <x:v>shm-spring</x:v>
      </x:c>
      <x:c r="K80" s="43" t="str">
        <x:v>c11-shm-pendulum</x:v>
      </x:c>
      <x:c r="L80" s="43" t="str">
        <x:v>c11-matter-thermal-waves</x:v>
      </x:c>
      <x:c r="M80" s="42" t="n">
        <x:v>95</x:v>
      </x:c>
      <x:c r="N80" s="43" t="str">
        <x:v>Misconception repair</x:v>
      </x:c>
      <x:c r="O80" s="43" t="str">
        <x:v>Describe SHM with period, frequency, and amplitude. • Compare pendulum and spring-mass oscillators.</x:v>
      </x:c>
    </x:row>
    <x:row r="81">
      <x:c r="A81" s="42" t="n">
        <x:v>66</x:v>
      </x:c>
      <x:c r="B81" s="43" t="str">
        <x:v>Thermodynamics</x:v>
      </x:c>
      <x:c r="C81" s="43" t="str">
        <x:v>Matter, Thermal Physics, Oscillations, and Waves</x:v>
      </x:c>
      <x:c r="D81" s="43" t="str">
        <x:v>Kinetic Theory</x:v>
      </x:c>
      <x:c r="E81" s="43" t="str">
        <x:v>Gas Laws and Kinetic Theory</x:v>
      </x:c>
      <x:c r="F81" s="43" t="str">
        <x:v>Class 11</x:v>
      </x:c>
      <x:c r="G81" s="43" t="n">
        <x:v>11</x:v>
      </x:c>
      <x:c r="H81" s="43" t="str">
        <x:v>experiment</x:v>
      </x:c>
      <x:c r="I81" s="43" t="str">
        <x:v>Intermediate</x:v>
      </x:c>
      <x:c r="J81" s="43" t="str">
        <x:v>gas-laws</x:v>
      </x:c>
      <x:c r="K81" s="43" t="str">
        <x:v>c11-kinetic-theory</x:v>
      </x:c>
      <x:c r="L81" s="43" t="str">
        <x:v>c11-matter-thermal-waves</x:v>
      </x:c>
      <x:c r="M81" s="42" t="n">
        <x:v>95</x:v>
      </x:c>
      <x:c r="N81" s="43" t="str">
        <x:v>Misconception repair</x:v>
      </x:c>
      <x:c r="O81" s="43" t="str">
        <x:v>Relate molecular motion to pressure and temperature. • Visualize ideal gas assumptions.</x:v>
      </x:c>
    </x:row>
    <x:row r="82">
      <x:c r="A82" s="42" t="n">
        <x:v>66</x:v>
      </x:c>
      <x:c r="B82" s="43" t="str">
        <x:v>Thermodynamics</x:v>
      </x:c>
      <x:c r="C82" s="43" t="str">
        <x:v>Matter, Thermal Physics, Oscillations, and Waves</x:v>
      </x:c>
      <x:c r="D82" s="43" t="str">
        <x:v>Thermal Properties and Thermodynamics</x:v>
      </x:c>
      <x:c r="E82" s="43" t="str">
        <x:v>Gas Laws and Kinetic Theory</x:v>
      </x:c>
      <x:c r="F82" s="43" t="str">
        <x:v>Class 11</x:v>
      </x:c>
      <x:c r="G82" s="43" t="n">
        <x:v>11</x:v>
      </x:c>
      <x:c r="H82" s="43" t="str">
        <x:v>experiment</x:v>
      </x:c>
      <x:c r="I82" s="43" t="str">
        <x:v>Intermediate</x:v>
      </x:c>
      <x:c r="J82" s="43" t="str">
        <x:v>gas-laws</x:v>
      </x:c>
      <x:c r="K82" s="43" t="str">
        <x:v>c11-thermal</x:v>
      </x:c>
      <x:c r="L82" s="43" t="str">
        <x:v>c11-matter-thermal-waves</x:v>
      </x:c>
      <x:c r="M82" s="42" t="n">
        <x:v>95</x:v>
      </x:c>
      <x:c r="N82" s="43" t="str">
        <x:v>Misconception repair</x:v>
      </x:c>
      <x:c r="O82" s="43" t="str">
        <x:v>Explore expansion, calorimetry, heat transfer, and thermodynamic processes. • Use PV diagrams.</x:v>
      </x:c>
    </x:row>
    <x:row r="83">
      <x:c r="A83" s="42" t="n">
        <x:v>68</x:v>
      </x:c>
      <x:c r="B83" s="43" t="str">
        <x:v>Thermodynamics</x:v>
      </x:c>
      <x:c r="C83" s="43" t="str">
        <x:v>Matter, Thermal Physics, Oscillations, and Waves</x:v>
      </x:c>
      <x:c r="D83" s="43" t="str">
        <x:v>Thermal Properties and Thermodynamics</x:v>
      </x:c>
      <x:c r="E83" s="43" t="str">
        <x:v>Heat Transfer</x:v>
      </x:c>
      <x:c r="F83" s="43" t="str">
        <x:v>Class 11</x:v>
      </x:c>
      <x:c r="G83" s="43" t="n">
        <x:v>11</x:v>
      </x:c>
      <x:c r="H83" s="43" t="str">
        <x:v>experiment</x:v>
      </x:c>
      <x:c r="I83" s="43" t="str">
        <x:v>Beginner</x:v>
      </x:c>
      <x:c r="J83" s="43" t="str">
        <x:v>heat-transfer</x:v>
      </x:c>
      <x:c r="K83" s="43" t="str">
        <x:v>c11-thermal</x:v>
      </x:c>
      <x:c r="L83" s="43" t="str">
        <x:v>c11-matter-thermal-waves</x:v>
      </x:c>
      <x:c r="M83" s="42" t="n">
        <x:v>86</x:v>
      </x:c>
      <x:c r="N83" s="43" t="str">
        <x:v>Misconception repair</x:v>
      </x:c>
      <x:c r="O83" s="43" t="str">
        <x:v>Explore expansion, calorimetry, heat transfer, and thermodynamic processes. • Use PV diagrams.</x:v>
      </x:c>
    </x:row>
    <x:row r="84">
      <x:c r="A84" s="42" t="n">
        <x:v>70</x:v>
      </x:c>
      <x:c r="B84" s="43" t="str">
        <x:v>Thermodynamics</x:v>
      </x:c>
      <x:c r="C84" s="43" t="str">
        <x:v>Matter, Thermal Physics, Oscillations, and Waves</x:v>
      </x:c>
      <x:c r="D84" s="43" t="str">
        <x:v>Thermal Properties and Thermodynamics</x:v>
      </x:c>
      <x:c r="E84" s="43" t="str">
        <x:v>Thermodynamic Processes</x:v>
      </x:c>
      <x:c r="F84" s="43" t="str">
        <x:v>Class 11</x:v>
      </x:c>
      <x:c r="G84" s="43" t="n">
        <x:v>11</x:v>
      </x:c>
      <x:c r="H84" s="43" t="str">
        <x:v>experiment</x:v>
      </x:c>
      <x:c r="I84" s="43" t="str">
        <x:v>Intermediate</x:v>
      </x:c>
      <x:c r="J84" s="43" t="str">
        <x:v>thermodynamic-process</x:v>
      </x:c>
      <x:c r="K84" s="43" t="str">
        <x:v>c11-thermal</x:v>
      </x:c>
      <x:c r="L84" s="43" t="str">
        <x:v>c11-matter-thermal-waves</x:v>
      </x:c>
      <x:c r="M84" s="42" t="n">
        <x:v>86</x:v>
      </x:c>
      <x:c r="N84" s="43" t="str">
        <x:v>Misconception repair</x:v>
      </x:c>
      <x:c r="O84" s="43" t="str">
        <x:v>Explore expansion, calorimetry, heat transfer, and thermodynamic processes. • Use PV diagrams.</x:v>
      </x:c>
    </x:row>
    <x:row r="85">
      <x:c r="A85" s="42" t="n">
        <x:v>71</x:v>
      </x:c>
      <x:c r="B85" s="43" t="str">
        <x:v>Waves</x:v>
      </x:c>
      <x:c r="C85" s="43" t="str">
        <x:v>Matter, Thermal Physics, Oscillations, and Waves</x:v>
      </x:c>
      <x:c r="D85" s="43" t="str">
        <x:v>Oscillations and Waves</x:v>
      </x:c>
      <x:c r="E85" s="43" t="str">
        <x:v>Chladni Plate</x:v>
      </x:c>
      <x:c r="F85" s="43" t="str">
        <x:v>Class 11</x:v>
      </x:c>
      <x:c r="G85" s="43" t="n">
        <x:v>11</x:v>
      </x:c>
      <x:c r="H85" s="43" t="str">
        <x:v>experiment</x:v>
      </x:c>
      <x:c r="I85" s="43" t="str">
        <x:v>Advanced</x:v>
      </x:c>
      <x:c r="J85" s="43" t="str">
        <x:v>chladni-plate</x:v>
      </x:c>
      <x:c r="K85" s="43" t="str">
        <x:v>c11-oscillations-waves</x:v>
      </x:c>
      <x:c r="L85" s="43" t="str">
        <x:v>c11-matter-thermal-waves</x:v>
      </x:c>
      <x:c r="M85" s="42" t="n">
        <x:v>76</x:v>
      </x:c>
      <x:c r="N85" s="43" t="str">
        <x:v>Transfer practice</x:v>
      </x:c>
      <x:c r="O85" s="43" t="str">
        <x:v>Explore SHM, resonance, standing waves, and sound speed. • Use frequency, wavelength, and phase.</x:v>
      </x:c>
    </x:row>
    <x:row r="86">
      <x:c r="A86" s="42" t="n">
        <x:v>44</x:v>
      </x:c>
      <x:c r="B86" s="43" t="str">
        <x:v>Mechanics</x:v>
      </x:c>
      <x:c r="C86" s="43" t="str">
        <x:v>Matter, Thermal Physics, Oscillations, and Waves</x:v>
      </x:c>
      <x:c r="D86" s="43" t="str">
        <x:v>Oscillations and Waves</x:v>
      </x:c>
      <x:c r="E86" s="43" t="str">
        <x:v>Simple Pendulum</x:v>
      </x:c>
      <x:c r="F86" s="43" t="str">
        <x:v>Class 11</x:v>
      </x:c>
      <x:c r="G86" s="43" t="n">
        <x:v>11</x:v>
      </x:c>
      <x:c r="H86" s="43" t="str">
        <x:v>experiment</x:v>
      </x:c>
      <x:c r="I86" s="43" t="str">
        <x:v>Intermediate</x:v>
      </x:c>
      <x:c r="J86" s="43" t="str">
        <x:v>simple-pendulum</x:v>
      </x:c>
      <x:c r="K86" s="43" t="str">
        <x:v>c11-oscillations-waves</x:v>
      </x:c>
      <x:c r="L86" s="43" t="str">
        <x:v>c11-matter-thermal-waves</x:v>
      </x:c>
      <x:c r="M86" s="42" t="n">
        <x:v>90</x:v>
      </x:c>
      <x:c r="N86" s="43" t="str">
        <x:v>Misconception repair</x:v>
      </x:c>
      <x:c r="O86" s="43" t="str">
        <x:v>Explore SHM, resonance, standing waves, and sound speed. • Use frequency, wavelength, and phase.</x:v>
      </x:c>
    </x:row>
    <x:row r="87">
      <x:c r="A87" s="42" t="n">
        <x:v>78</x:v>
      </x:c>
      <x:c r="B87" s="43" t="str">
        <x:v>Waves</x:v>
      </x:c>
      <x:c r="C87" s="43" t="str">
        <x:v>Matter, Thermal Physics, Oscillations, and Waves</x:v>
      </x:c>
      <x:c r="D87" s="43" t="str">
        <x:v>Oscillations and Waves</x:v>
      </x:c>
      <x:c r="E87" s="43" t="str">
        <x:v>Spring-Mass SHM</x:v>
      </x:c>
      <x:c r="F87" s="43" t="str">
        <x:v>Class 11</x:v>
      </x:c>
      <x:c r="G87" s="43" t="n">
        <x:v>11</x:v>
      </x:c>
      <x:c r="H87" s="43" t="str">
        <x:v>experiment</x:v>
      </x:c>
      <x:c r="I87" s="43" t="str">
        <x:v>Intermediate</x:v>
      </x:c>
      <x:c r="J87" s="43" t="str">
        <x:v>shm-spring</x:v>
      </x:c>
      <x:c r="K87" s="43" t="str">
        <x:v>c11-oscillations-waves</x:v>
      </x:c>
      <x:c r="L87" s="43" t="str">
        <x:v>c11-matter-thermal-waves</x:v>
      </x:c>
      <x:c r="M87" s="42" t="n">
        <x:v>95</x:v>
      </x:c>
      <x:c r="N87" s="43" t="str">
        <x:v>Misconception repair</x:v>
      </x:c>
      <x:c r="O87" s="43" t="str">
        <x:v>Explore SHM, resonance, standing waves, and sound speed. • Use frequency, wavelength, and phase.</x:v>
      </x:c>
    </x:row>
    <x:row r="88">
      <x:c r="A88" s="42" t="n">
        <x:v>79</x:v>
      </x:c>
      <x:c r="B88" s="43" t="str">
        <x:v>Waves</x:v>
      </x:c>
      <x:c r="C88" s="43" t="str">
        <x:v>Matter, Thermal Physics, Oscillations, and Waves</x:v>
      </x:c>
      <x:c r="D88" s="43" t="str">
        <x:v>Oscillations and Waves</x:v>
      </x:c>
      <x:c r="E88" s="43" t="str">
        <x:v>Wave Lab</x:v>
      </x:c>
      <x:c r="F88" s="43" t="str">
        <x:v>Class 11</x:v>
      </x:c>
      <x:c r="G88" s="43" t="n">
        <x:v>11</x:v>
      </x:c>
      <x:c r="H88" s="43" t="str">
        <x:v>experiment</x:v>
      </x:c>
      <x:c r="I88" s="43" t="str">
        <x:v>Intermediate</x:v>
      </x:c>
      <x:c r="J88" s="43" t="str">
        <x:v>wave-lab</x:v>
      </x:c>
      <x:c r="K88" s="43" t="str">
        <x:v>c11-oscillations-waves</x:v>
      </x:c>
      <x:c r="L88" s="43" t="str">
        <x:v>c11-matter-thermal-waves</x:v>
      </x:c>
      <x:c r="M88" s="42" t="n">
        <x:v>79</x:v>
      </x:c>
      <x:c r="N88" s="43" t="str">
        <x:v>Measurement skill</x:v>
      </x:c>
      <x:c r="O88" s="43" t="str">
        <x:v>Explore SHM, resonance, standing waves, and sound speed. • Use frequency, wavelength, and phase.</x:v>
      </x:c>
    </x:row>
    <x:row r="89">
      <x:c r="A89" s="42" t="n">
        <x:v>6</x:v>
      </x:c>
      <x:c r="B89" s="43" t="str">
        <x:v>Electricity</x:v>
      </x:c>
      <x:c r="C89" s="43" t="str">
        <x:v>Electricity and Magnetism</x:v>
      </x:c>
      <x:c r="D89" s="43" t="str">
        <x:v>Current Electricity</x:v>
      </x:c>
      <x:c r="E89" s="43" t="str">
        <x:v>Cell Internal Resistance</x:v>
      </x:c>
      <x:c r="F89" s="43" t="str">
        <x:v>Class 12</x:v>
      </x:c>
      <x:c r="G89" s="43" t="n">
        <x:v>12</x:v>
      </x:c>
      <x:c r="H89" s="43" t="str">
        <x:v>experiment</x:v>
      </x:c>
      <x:c r="I89" s="43" t="str">
        <x:v>Intermediate</x:v>
      </x:c>
      <x:c r="J89" s="43" t="str">
        <x:v>internal-resistance-cell</x:v>
      </x:c>
      <x:c r="K89" s="43" t="str">
        <x:v>c12-current</x:v>
      </x:c>
      <x:c r="L89" s="43" t="str">
        <x:v>c12-electricity-magnetism</x:v>
      </x:c>
      <x:c r="M89" s="42" t="n">
        <x:v>86</x:v>
      </x:c>
      <x:c r="N89" s="43" t="str">
        <x:v>Misconception repair</x:v>
      </x:c>
      <x:c r="O89" s="43" t="str">
        <x:v>Use Ohm's law, drift velocity, Kirchhoff rules, and bridge circuits. • Analyse cell internal resistance.</x:v>
      </x:c>
    </x:row>
    <x:row r="90">
      <x:c r="A90" s="42" t="n">
        <x:v>12</x:v>
      </x:c>
      <x:c r="B90" s="43" t="str">
        <x:v>Electricity</x:v>
      </x:c>
      <x:c r="C90" s="43" t="str">
        <x:v>Electricity and Magnetism</x:v>
      </x:c>
      <x:c r="D90" s="43" t="str">
        <x:v>Current Electricity</x:v>
      </x:c>
      <x:c r="E90" s="43" t="str">
        <x:v>Kirchhoff Circuit Rules</x:v>
      </x:c>
      <x:c r="F90" s="43" t="str">
        <x:v>Class 12</x:v>
      </x:c>
      <x:c r="G90" s="43" t="n">
        <x:v>12</x:v>
      </x:c>
      <x:c r="H90" s="43" t="str">
        <x:v>experiment</x:v>
      </x:c>
      <x:c r="I90" s="43" t="str">
        <x:v>Intermediate</x:v>
      </x:c>
      <x:c r="J90" s="43" t="str">
        <x:v>kirchhoff-circuit</x:v>
      </x:c>
      <x:c r="K90" s="43" t="str">
        <x:v>c12-current</x:v>
      </x:c>
      <x:c r="L90" s="43" t="str">
        <x:v>c12-electricity-magnetism</x:v>
      </x:c>
      <x:c r="M90" s="42" t="n">
        <x:v>86</x:v>
      </x:c>
      <x:c r="N90" s="43" t="str">
        <x:v>Misconception repair</x:v>
      </x:c>
      <x:c r="O90" s="43" t="str">
        <x:v>Use Ohm's law, drift velocity, Kirchhoff rules, and bridge circuits. • Analyse cell internal resistance.</x:v>
      </x:c>
    </x:row>
    <x:row r="91">
      <x:c r="A91" s="42" t="n">
        <x:v>13</x:v>
      </x:c>
      <x:c r="B91" s="43" t="str">
        <x:v>Electricity</x:v>
      </x:c>
      <x:c r="C91" s="43" t="str">
        <x:v>Electricity and Magnetism</x:v>
      </x:c>
      <x:c r="D91" s="43" t="str">
        <x:v>Current Electricity</x:v>
      </x:c>
      <x:c r="E91" s="43" t="str">
        <x:v>Meter Bridge</x:v>
      </x:c>
      <x:c r="F91" s="43" t="str">
        <x:v>Class 12</x:v>
      </x:c>
      <x:c r="G91" s="43" t="n">
        <x:v>12</x:v>
      </x:c>
      <x:c r="H91" s="43" t="str">
        <x:v>experiment</x:v>
      </x:c>
      <x:c r="I91" s="43" t="str">
        <x:v>Intermediate</x:v>
      </x:c>
      <x:c r="J91" s="43" t="str">
        <x:v>meter-bridge</x:v>
      </x:c>
      <x:c r="K91" s="43" t="str">
        <x:v>c12-current</x:v>
      </x:c>
      <x:c r="L91" s="43" t="str">
        <x:v>c12-electricity-magnetism</x:v>
      </x:c>
      <x:c r="M91" s="42" t="n">
        <x:v>86</x:v>
      </x:c>
      <x:c r="N91" s="43" t="str">
        <x:v>Misconception repair</x:v>
      </x:c>
      <x:c r="O91" s="43" t="str">
        <x:v>Use Ohm's law, drift velocity, Kirchhoff rules, and bridge circuits. • Analyse cell internal resistance.</x:v>
      </x:c>
    </x:row>
    <x:row r="92">
      <x:c r="A92" s="42" t="n">
        <x:v>14</x:v>
      </x:c>
      <x:c r="B92" s="43" t="str">
        <x:v>Electricity</x:v>
      </x:c>
      <x:c r="C92" s="43" t="str">
        <x:v>Electricity and Magnetism</x:v>
      </x:c>
      <x:c r="D92" s="43" t="str">
        <x:v>Current Electricity</x:v>
      </x:c>
      <x:c r="E92" s="43" t="str">
        <x:v>Ohm's Law V-I Graph</x:v>
      </x:c>
      <x:c r="F92" s="43" t="str">
        <x:v>Class 12</x:v>
      </x:c>
      <x:c r="G92" s="43" t="n">
        <x:v>12</x:v>
      </x:c>
      <x:c r="H92" s="43" t="str">
        <x:v>experiment</x:v>
      </x:c>
      <x:c r="I92" s="43" t="str">
        <x:v>Beginner</x:v>
      </x:c>
      <x:c r="J92" s="43" t="str">
        <x:v>ohms-law</x:v>
      </x:c>
      <x:c r="K92" s="43" t="str">
        <x:v>c12-current</x:v>
      </x:c>
      <x:c r="L92" s="43" t="str">
        <x:v>c12-electricity-magnetism</x:v>
      </x:c>
      <x:c r="M92" s="42" t="n">
        <x:v>95</x:v>
      </x:c>
      <x:c r="N92" s="43" t="str">
        <x:v>Misconception repair</x:v>
      </x:c>
      <x:c r="O92" s="43" t="str">
        <x:v>Use Ohm's law, drift velocity, Kirchhoff rules, and bridge circuits. • Analyse cell internal resistance.</x:v>
      </x:c>
    </x:row>
    <x:row r="93">
      <x:c r="A93" s="42" t="n">
        <x:v>15</x:v>
      </x:c>
      <x:c r="B93" s="43" t="str">
        <x:v>Electricity</x:v>
      </x:c>
      <x:c r="C93" s="43" t="str">
        <x:v>Electricity and Magnetism</x:v>
      </x:c>
      <x:c r="D93" s="43" t="str">
        <x:v>Current Electricity</x:v>
      </x:c>
      <x:c r="E93" s="43" t="str">
        <x:v>Series and Parallel Resistance</x:v>
      </x:c>
      <x:c r="F93" s="43" t="str">
        <x:v>Class 12</x:v>
      </x:c>
      <x:c r="G93" s="43" t="n">
        <x:v>12</x:v>
      </x:c>
      <x:c r="H93" s="43" t="str">
        <x:v>experiment</x:v>
      </x:c>
      <x:c r="I93" s="43" t="str">
        <x:v>Intermediate</x:v>
      </x:c>
      <x:c r="J93" s="43" t="str">
        <x:v>series-parallel-resistance</x:v>
      </x:c>
      <x:c r="K93" s="43" t="str">
        <x:v>c12-current</x:v>
      </x:c>
      <x:c r="L93" s="43" t="str">
        <x:v>c12-electricity-magnetism</x:v>
      </x:c>
      <x:c r="M93" s="42" t="n">
        <x:v>89</x:v>
      </x:c>
      <x:c r="N93" s="43" t="str">
        <x:v>Misconception repair</x:v>
      </x:c>
      <x:c r="O93" s="43" t="str">
        <x:v>Use Ohm's law, drift velocity, Kirchhoff rules, and bridge circuits. • Analyse cell internal resistance.</x:v>
      </x:c>
    </x:row>
    <x:row r="94">
      <x:c r="A94" s="42" t="n">
        <x:v>5</x:v>
      </x:c>
      <x:c r="B94" s="43" t="str">
        <x:v>Electricity</x:v>
      </x:c>
      <x:c r="C94" s="43" t="str">
        <x:v>Electricity and Magnetism</x:v>
      </x:c>
      <x:c r="D94" s="43" t="str">
        <x:v>Electric Charges, Fields, Potential, and Capacitance</x:v>
      </x:c>
      <x:c r="E94" s="43" t="str">
        <x:v>Capacitor Energy and Combination</x:v>
      </x:c>
      <x:c r="F94" s="43" t="str">
        <x:v>Class 12</x:v>
      </x:c>
      <x:c r="G94" s="43" t="n">
        <x:v>12</x:v>
      </x:c>
      <x:c r="H94" s="43" t="str">
        <x:v>experiment</x:v>
      </x:c>
      <x:c r="I94" s="43" t="str">
        <x:v>Intermediate</x:v>
      </x:c>
      <x:c r="J94" s="43" t="str">
        <x:v>capacitor-lab</x:v>
      </x:c>
      <x:c r="K94" s="43" t="str">
        <x:v>c12-electrostatics</x:v>
      </x:c>
      <x:c r="L94" s="43" t="str">
        <x:v>c12-electricity-magnetism</x:v>
      </x:c>
      <x:c r="M94" s="42" t="n">
        <x:v>83</x:v>
      </x:c>
      <x:c r="N94" s="43" t="str">
        <x:v>Misconception repair</x:v>
      </x:c>
      <x:c r="O94" s="43" t="str">
        <x:v>Visualize electric fields and equipotentials. • Compare capacitors in series and parallel.</x:v>
      </x:c>
    </x:row>
    <x:row r="95">
      <x:c r="A95" s="42" t="n">
        <x:v>9</x:v>
      </x:c>
      <x:c r="B95" s="43" t="str">
        <x:v>Electricity</x:v>
      </x:c>
      <x:c r="C95" s="43" t="str">
        <x:v>Electricity and Magnetism</x:v>
      </x:c>
      <x:c r="D95" s="43" t="str">
        <x:v>Electric Charges, Fields, Potential, and Capacitance</x:v>
      </x:c>
      <x:c r="E95" s="43" t="str">
        <x:v>Electrostatic Field and Potential</x:v>
      </x:c>
      <x:c r="F95" s="43" t="str">
        <x:v>Class 12</x:v>
      </x:c>
      <x:c r="G95" s="43" t="n">
        <x:v>12</x:v>
      </x:c>
      <x:c r="H95" s="43" t="str">
        <x:v>experiment</x:v>
      </x:c>
      <x:c r="I95" s="43" t="str">
        <x:v>Intermediate</x:v>
      </x:c>
      <x:c r="J95" s="43" t="str">
        <x:v>electrostatic-field-potential</x:v>
      </x:c>
      <x:c r="K95" s="43" t="str">
        <x:v>c12-electrostatics</x:v>
      </x:c>
      <x:c r="L95" s="43" t="str">
        <x:v>c12-electricity-magnetism</x:v>
      </x:c>
      <x:c r="M95" s="42" t="n">
        <x:v>86</x:v>
      </x:c>
      <x:c r="N95" s="43" t="str">
        <x:v>Misconception repair</x:v>
      </x:c>
      <x:c r="O95" s="43" t="str">
        <x:v>Visualize electric fields and equipotentials. • Compare capacitors in series and parallel.</x:v>
      </x:c>
    </x:row>
    <x:row r="96">
      <x:c r="A96" s="42" t="n">
        <x:v>16</x:v>
      </x:c>
      <x:c r="B96" s="43" t="str">
        <x:v>Electricity</x:v>
      </x:c>
      <x:c r="C96" s="43" t="str">
        <x:v>Electricity and Magnetism</x:v>
      </x:c>
      <x:c r="D96" s="43" t="str">
        <x:v>Electric Charges, Fields, Potential, and Capacitance</x:v>
      </x:c>
      <x:c r="E96" s="43" t="str">
        <x:v>Static Electricity and Lightning</x:v>
      </x:c>
      <x:c r="F96" s="43" t="str">
        <x:v>Class 12</x:v>
      </x:c>
      <x:c r="G96" s="43" t="n">
        <x:v>12</x:v>
      </x:c>
      <x:c r="H96" s="43" t="str">
        <x:v>experiment</x:v>
      </x:c>
      <x:c r="I96" s="43" t="str">
        <x:v>Beginner</x:v>
      </x:c>
      <x:c r="J96" s="43" t="str">
        <x:v>static-electricity</x:v>
      </x:c>
      <x:c r="K96" s="43" t="str">
        <x:v>c12-electrostatics</x:v>
      </x:c>
      <x:c r="L96" s="43" t="str">
        <x:v>c12-electricity-magnetism</x:v>
      </x:c>
      <x:c r="M96" s="42" t="n">
        <x:v>86</x:v>
      </x:c>
      <x:c r="N96" s="43" t="str">
        <x:v>Misconception repair</x:v>
      </x:c>
      <x:c r="O96" s="43" t="str">
        <x:v>Visualize electric fields and equipotentials. • Compare capacitors in series and parallel.</x:v>
      </x:c>
    </x:row>
    <x:row r="97">
      <x:c r="A97" s="42" t="n">
        <x:v>3</x:v>
      </x:c>
      <x:c r="B97" s="43" t="str">
        <x:v>Electricity</x:v>
      </x:c>
      <x:c r="C97" s="43" t="str">
        <x:v>Electricity and Magnetism</x:v>
      </x:c>
      <x:c r="D97" s="43" t="str">
        <x:v>EMI and Alternating Current</x:v>
      </x:c>
      <x:c r="E97" s="43" t="str">
        <x:v>AC Generator</x:v>
      </x:c>
      <x:c r="F97" s="43" t="str">
        <x:v>Class 12</x:v>
      </x:c>
      <x:c r="G97" s="43" t="n">
        <x:v>12</x:v>
      </x:c>
      <x:c r="H97" s="43" t="str">
        <x:v>experiment</x:v>
      </x:c>
      <x:c r="I97" s="43" t="str">
        <x:v>Intermediate</x:v>
      </x:c>
      <x:c r="J97" s="43" t="str">
        <x:v>ac-generator</x:v>
      </x:c>
      <x:c r="K97" s="43" t="str">
        <x:v>c12-emi-ac</x:v>
      </x:c>
      <x:c r="L97" s="43" t="str">
        <x:v>c12-electricity-magnetism</x:v>
      </x:c>
      <x:c r="M97" s="42" t="n">
        <x:v>86</x:v>
      </x:c>
      <x:c r="N97" s="43" t="str">
        <x:v>Misconception repair</x:v>
      </x:c>
      <x:c r="O97" s="43" t="str">
        <x:v>Apply Faraday and Lenz laws. • Explore AC, LCR resonance, transformer, and generator.</x:v>
      </x:c>
    </x:row>
    <x:row r="98">
      <x:c r="A98" s="42" t="n">
        <x:v>4</x:v>
      </x:c>
      <x:c r="B98" s="43" t="str">
        <x:v>Electricity</x:v>
      </x:c>
      <x:c r="C98" s="43" t="str">
        <x:v>Electricity and Magnetism</x:v>
      </x:c>
      <x:c r="D98" s="43" t="str">
        <x:v>EMI and Alternating Current</x:v>
      </x:c>
      <x:c r="E98" s="43" t="str">
        <x:v>AC LCR Resonance</x:v>
      </x:c>
      <x:c r="F98" s="43" t="str">
        <x:v>Class 12</x:v>
      </x:c>
      <x:c r="G98" s="43" t="n">
        <x:v>12</x:v>
      </x:c>
      <x:c r="H98" s="43" t="str">
        <x:v>experiment</x:v>
      </x:c>
      <x:c r="I98" s="43" t="str">
        <x:v>Intermediate</x:v>
      </x:c>
      <x:c r="J98" s="43" t="str">
        <x:v>ac-lcr-resonance</x:v>
      </x:c>
      <x:c r="K98" s="43" t="str">
        <x:v>c12-emi-ac</x:v>
      </x:c>
      <x:c r="L98" s="43" t="str">
        <x:v>c12-electricity-magnetism</x:v>
      </x:c>
      <x:c r="M98" s="42" t="n">
        <x:v>86</x:v>
      </x:c>
      <x:c r="N98" s="43" t="str">
        <x:v>Misconception repair</x:v>
      </x:c>
      <x:c r="O98" s="43" t="str">
        <x:v>Apply Faraday and Lenz laws. • Explore AC, LCR resonance, transformer, and generator.</x:v>
      </x:c>
    </x:row>
    <x:row r="99">
      <x:c r="A99" s="42" t="n">
        <x:v>10</x:v>
      </x:c>
      <x:c r="B99" s="43" t="str">
        <x:v>Electricity</x:v>
      </x:c>
      <x:c r="C99" s="43" t="str">
        <x:v>Electricity and Magnetism</x:v>
      </x:c>
      <x:c r="D99" s="43" t="str">
        <x:v>EMI and Alternating Current</x:v>
      </x:c>
      <x:c r="E99" s="43" t="str">
        <x:v>Faraday Induction</x:v>
      </x:c>
      <x:c r="F99" s="43" t="str">
        <x:v>Class 12</x:v>
      </x:c>
      <x:c r="G99" s="43" t="n">
        <x:v>12</x:v>
      </x:c>
      <x:c r="H99" s="43" t="str">
        <x:v>experiment</x:v>
      </x:c>
      <x:c r="I99" s="43" t="str">
        <x:v>Intermediate</x:v>
      </x:c>
      <x:c r="J99" s="43" t="str">
        <x:v>emi-faraday</x:v>
      </x:c>
      <x:c r="K99" s="43" t="str">
        <x:v>c12-emi-ac</x:v>
      </x:c>
      <x:c r="L99" s="43" t="str">
        <x:v>c12-electricity-magnetism</x:v>
      </x:c>
      <x:c r="M99" s="42" t="n">
        <x:v>83</x:v>
      </x:c>
      <x:c r="N99" s="43" t="str">
        <x:v>Misconception repair</x:v>
      </x:c>
      <x:c r="O99" s="43" t="str">
        <x:v>Apply Faraday and Lenz laws. • Explore AC, LCR resonance, transformer, and generator.</x:v>
      </x:c>
    </x:row>
    <x:row r="100">
      <x:c r="A100" s="42" t="n">
        <x:v>17</x:v>
      </x:c>
      <x:c r="B100" s="43" t="str">
        <x:v>Electricity</x:v>
      </x:c>
      <x:c r="C100" s="43" t="str">
        <x:v>Electricity and Magnetism</x:v>
      </x:c>
      <x:c r="D100" s="43" t="str">
        <x:v>EMI and Alternating Current</x:v>
      </x:c>
      <x:c r="E100" s="43" t="str">
        <x:v>Transformer Lab</x:v>
      </x:c>
      <x:c r="F100" s="43" t="str">
        <x:v>Class 12</x:v>
      </x:c>
      <x:c r="G100" s="43" t="n">
        <x:v>12</x:v>
      </x:c>
      <x:c r="H100" s="43" t="str">
        <x:v>experiment</x:v>
      </x:c>
      <x:c r="I100" s="43" t="str">
        <x:v>Intermediate</x:v>
      </x:c>
      <x:c r="J100" s="43" t="str">
        <x:v>transformer-lab</x:v>
      </x:c>
      <x:c r="K100" s="43" t="str">
        <x:v>c12-emi-ac</x:v>
      </x:c>
      <x:c r="L100" s="43" t="str">
        <x:v>c12-electricity-magnetism</x:v>
      </x:c>
      <x:c r="M100" s="42" t="n">
        <x:v>86</x:v>
      </x:c>
      <x:c r="N100" s="43" t="str">
        <x:v>Misconception repair</x:v>
      </x:c>
      <x:c r="O100" s="43" t="str">
        <x:v>Apply Faraday and Lenz laws. • Explore AC, LCR resonance, transformer, and generator.</x:v>
      </x:c>
    </x:row>
    <x:row r="101">
      <x:c r="A101" s="42" t="n">
        <x:v>18</x:v>
      </x:c>
      <x:c r="B101" s="43" t="str">
        <x:v>Electronics</x:v>
      </x:c>
      <x:c r="C101" s="43" t="str">
        <x:v>Optics and Modern Physics</x:v>
      </x:c>
      <x:c r="D101" s="43" t="str">
        <x:v>Semiconductor Electronics</x:v>
      </x:c>
      <x:c r="E101" s="43" t="str">
        <x:v>Logic Gates</x:v>
      </x:c>
      <x:c r="F101" s="43" t="str">
        <x:v>Class 12</x:v>
      </x:c>
      <x:c r="G101" s="43" t="n">
        <x:v>12</x:v>
      </x:c>
      <x:c r="H101" s="43" t="str">
        <x:v>experiment</x:v>
      </x:c>
      <x:c r="I101" s="43" t="str">
        <x:v>Beginner</x:v>
      </x:c>
      <x:c r="J101" s="43" t="str">
        <x:v>logic-gates</x:v>
      </x:c>
      <x:c r="K101" s="43" t="str">
        <x:v>c12-semiconductors</x:v>
      </x:c>
      <x:c r="L101" s="43" t="str">
        <x:v>c12-optics-modern</x:v>
      </x:c>
      <x:c r="M101" s="42" t="n">
        <x:v>86</x:v>
      </x:c>
      <x:c r="N101" s="43" t="str">
        <x:v>Misconception repair</x:v>
      </x:c>
      <x:c r="O101" s="43" t="str">
        <x:v>Identify diode behavior. • Build rectifier and simple logic circuits.</x:v>
      </x:c>
    </x:row>
    <x:row r="102">
      <x:c r="A102" s="42" t="n">
        <x:v>19</x:v>
      </x:c>
      <x:c r="B102" s="43" t="str">
        <x:v>Electronics</x:v>
      </x:c>
      <x:c r="C102" s="43" t="str">
        <x:v>Optics and Modern Physics</x:v>
      </x:c>
      <x:c r="D102" s="43" t="str">
        <x:v>Semiconductor Electronics</x:v>
      </x:c>
      <x:c r="E102" s="43" t="str">
        <x:v>Semiconductor Diode and Rectifier</x:v>
      </x:c>
      <x:c r="F102" s="43" t="str">
        <x:v>Class 12</x:v>
      </x:c>
      <x:c r="G102" s="43" t="n">
        <x:v>12</x:v>
      </x:c>
      <x:c r="H102" s="43" t="str">
        <x:v>experiment</x:v>
      </x:c>
      <x:c r="I102" s="43" t="str">
        <x:v>Intermediate</x:v>
      </x:c>
      <x:c r="J102" s="43" t="str">
        <x:v>semiconductor-diode</x:v>
      </x:c>
      <x:c r="K102" s="43" t="str">
        <x:v>c12-semiconductors</x:v>
      </x:c>
      <x:c r="L102" s="43" t="str">
        <x:v>c12-optics-modern</x:v>
      </x:c>
      <x:c r="M102" s="42" t="n">
        <x:v>86</x:v>
      </x:c>
      <x:c r="N102" s="43" t="str">
        <x:v>Misconception repair</x:v>
      </x:c>
      <x:c r="O102" s="43" t="str">
        <x:v>Identify diode behavior. • Build rectifier and simple logic circuits.</x:v>
      </x:c>
    </x:row>
    <x:row r="103">
      <x:c r="A103" s="42" t="n">
        <x:v>27</x:v>
      </x:c>
      <x:c r="B103" s="43" t="str">
        <x:v>Magnetism</x:v>
      </x:c>
      <x:c r="C103" s="43" t="str">
        <x:v>Electricity and Magnetism</x:v>
      </x:c>
      <x:c r="D103" s="43" t="str">
        <x:v>Moving Charges and Magnetism</x:v>
      </x:c>
      <x:c r="E103" s="43" t="str">
        <x:v>Lorentz Force on Moving Charge</x:v>
      </x:c>
      <x:c r="F103" s="43" t="str">
        <x:v>Class 12</x:v>
      </x:c>
      <x:c r="G103" s="43" t="n">
        <x:v>12</x:v>
      </x:c>
      <x:c r="H103" s="43" t="str">
        <x:v>experiment</x:v>
      </x:c>
      <x:c r="I103" s="43" t="str">
        <x:v>Intermediate</x:v>
      </x:c>
      <x:c r="J103" s="43" t="str">
        <x:v>lorentz-force</x:v>
      </x:c>
      <x:c r="K103" s="43" t="str">
        <x:v>c12-magnetic-effects</x:v>
      </x:c>
      <x:c r="L103" s="43" t="str">
        <x:v>c12-electricity-magnetism</x:v>
      </x:c>
      <x:c r="M103" s="42" t="n">
        <x:v>89</x:v>
      </x:c>
      <x:c r="N103" s="43" t="str">
        <x:v>Misconception repair</x:v>
      </x:c>
      <x:c r="O103" s="43" t="str">
        <x:v>Visualize Lorentz force and field due to currents. • Model galvanometer conversion.</x:v>
      </x:c>
    </x:row>
    <x:row r="104">
      <x:c r="A104" s="42" t="n">
        <x:v>28</x:v>
      </x:c>
      <x:c r="B104" s="43" t="str">
        <x:v>Magnetism</x:v>
      </x:c>
      <x:c r="C104" s="43" t="str">
        <x:v>Electricity and Magnetism</x:v>
      </x:c>
      <x:c r="D104" s="43" t="str">
        <x:v>Moving Charges and Magnetism</x:v>
      </x:c>
      <x:c r="E104" s="43" t="str">
        <x:v>Magnetic Field Around Current</x:v>
      </x:c>
      <x:c r="F104" s="43" t="str">
        <x:v>Class 12</x:v>
      </x:c>
      <x:c r="G104" s="43" t="n">
        <x:v>12</x:v>
      </x:c>
      <x:c r="H104" s="43" t="str">
        <x:v>experiment</x:v>
      </x:c>
      <x:c r="I104" s="43" t="str">
        <x:v>Intermediate</x:v>
      </x:c>
      <x:c r="J104" s="43" t="str">
        <x:v>magnetic-field-current</x:v>
      </x:c>
      <x:c r="K104" s="43" t="str">
        <x:v>c12-magnetic-effects</x:v>
      </x:c>
      <x:c r="L104" s="43" t="str">
        <x:v>c12-electricity-magnetism</x:v>
      </x:c>
      <x:c r="M104" s="42" t="n">
        <x:v>89</x:v>
      </x:c>
      <x:c r="N104" s="43" t="str">
        <x:v>Misconception repair</x:v>
      </x:c>
      <x:c r="O104" s="43" t="str">
        <x:v>Visualize Lorentz force and field due to currents. • Model galvanometer conversion.</x:v>
      </x:c>
    </x:row>
    <x:row r="105">
      <x:c r="A105" s="42" t="n">
        <x:v>49</x:v>
      </x:c>
      <x:c r="B105" s="43" t="str">
        <x:v>Modern Physics</x:v>
      </x:c>
      <x:c r="C105" s="43" t="str">
        <x:v>Optics and Modern Physics</x:v>
      </x:c>
      <x:c r="D105" s="43" t="str">
        <x:v>Dual Nature, Atoms, and Nuclei</x:v>
      </x:c>
      <x:c r="E105" s="43" t="str">
        <x:v>Bohr Atom Transitions</x:v>
      </x:c>
      <x:c r="F105" s="43" t="str">
        <x:v>Class 12</x:v>
      </x:c>
      <x:c r="G105" s="43" t="n">
        <x:v>12</x:v>
      </x:c>
      <x:c r="H105" s="43" t="str">
        <x:v>experiment</x:v>
      </x:c>
      <x:c r="I105" s="43" t="str">
        <x:v>Intermediate</x:v>
      </x:c>
      <x:c r="J105" s="43" t="str">
        <x:v>bohr-model</x:v>
      </x:c>
      <x:c r="K105" s="43" t="str">
        <x:v>c12-dual-atoms</x:v>
      </x:c>
      <x:c r="L105" s="43" t="str">
        <x:v>c12-optics-modern</x:v>
      </x:c>
      <x:c r="M105" s="42" t="n">
        <x:v>86</x:v>
      </x:c>
      <x:c r="N105" s="43" t="str">
        <x:v>Misconception repair</x:v>
      </x:c>
      <x:c r="O105" s="43" t="str">
        <x:v>Use photoelectric equation and de Broglie wavelength. • Model Bohr transitions and nuclear change.</x:v>
      </x:c>
    </x:row>
    <x:row r="106">
      <x:c r="A106" s="42" t="n">
        <x:v>50</x:v>
      </x:c>
      <x:c r="B106" s="43" t="str">
        <x:v>Modern Physics</x:v>
      </x:c>
      <x:c r="C106" s="43" t="str">
        <x:v>Optics and Modern Physics</x:v>
      </x:c>
      <x:c r="D106" s="43" t="str">
        <x:v>Dual Nature, Atoms, and Nuclei</x:v>
      </x:c>
      <x:c r="E106" s="43" t="str">
        <x:v>de Broglie Wavelength</x:v>
      </x:c>
      <x:c r="F106" s="43" t="str">
        <x:v>Class 12</x:v>
      </x:c>
      <x:c r="G106" s="43" t="n">
        <x:v>12</x:v>
      </x:c>
      <x:c r="H106" s="43" t="str">
        <x:v>experiment</x:v>
      </x:c>
      <x:c r="I106" s="43" t="str">
        <x:v>Intermediate</x:v>
      </x:c>
      <x:c r="J106" s="43" t="str">
        <x:v>de-broglie-wavelength</x:v>
      </x:c>
      <x:c r="K106" s="43" t="str">
        <x:v>c12-dual-atoms</x:v>
      </x:c>
      <x:c r="L106" s="43" t="str">
        <x:v>c12-optics-modern</x:v>
      </x:c>
      <x:c r="M106" s="42" t="n">
        <x:v>86</x:v>
      </x:c>
      <x:c r="N106" s="43" t="str">
        <x:v>Misconception repair</x:v>
      </x:c>
      <x:c r="O106" s="43" t="str">
        <x:v>Use photoelectric equation and de Broglie wavelength. • Model Bohr transitions and nuclear change.</x:v>
      </x:c>
    </x:row>
    <x:row r="107">
      <x:c r="A107" s="42" t="n">
        <x:v>51</x:v>
      </x:c>
      <x:c r="B107" s="43" t="str">
        <x:v>Modern Physics</x:v>
      </x:c>
      <x:c r="C107" s="43" t="str">
        <x:v>Optics and Modern Physics</x:v>
      </x:c>
      <x:c r="D107" s="43" t="str">
        <x:v>Dual Nature, Atoms, and Nuclei</x:v>
      </x:c>
      <x:c r="E107" s="43" t="str">
        <x:v>Nuclear Decay and Half-Life</x:v>
      </x:c>
      <x:c r="F107" s="43" t="str">
        <x:v>Class 12</x:v>
      </x:c>
      <x:c r="G107" s="43" t="n">
        <x:v>12</x:v>
      </x:c>
      <x:c r="H107" s="43" t="str">
        <x:v>experiment</x:v>
      </x:c>
      <x:c r="I107" s="43" t="str">
        <x:v>Intermediate</x:v>
      </x:c>
      <x:c r="J107" s="43" t="str">
        <x:v>nuclear-decay</x:v>
      </x:c>
      <x:c r="K107" s="43" t="str">
        <x:v>c12-dual-atoms</x:v>
      </x:c>
      <x:c r="L107" s="43" t="str">
        <x:v>c12-optics-modern</x:v>
      </x:c>
      <x:c r="M107" s="42" t="n">
        <x:v>91</x:v>
      </x:c>
      <x:c r="N107" s="43" t="str">
        <x:v>Misconception repair</x:v>
      </x:c>
      <x:c r="O107" s="43" t="str">
        <x:v>Use photoelectric equation and de Broglie wavelength. • Model Bohr transitions and nuclear change.</x:v>
      </x:c>
    </x:row>
    <x:row r="108">
      <x:c r="A108" s="42" t="n">
        <x:v>52</x:v>
      </x:c>
      <x:c r="B108" s="43" t="str">
        <x:v>Modern Physics</x:v>
      </x:c>
      <x:c r="C108" s="43" t="str">
        <x:v>Optics and Modern Physics</x:v>
      </x:c>
      <x:c r="D108" s="43" t="str">
        <x:v>Dual Nature, Atoms, and Nuclei</x:v>
      </x:c>
      <x:c r="E108" s="43" t="str">
        <x:v>Photoelectric Equation</x:v>
      </x:c>
      <x:c r="F108" s="43" t="str">
        <x:v>Class 12</x:v>
      </x:c>
      <x:c r="G108" s="43" t="n">
        <x:v>12</x:v>
      </x:c>
      <x:c r="H108" s="43" t="str">
        <x:v>experiment</x:v>
      </x:c>
      <x:c r="I108" s="43" t="str">
        <x:v>Intermediate</x:v>
      </x:c>
      <x:c r="J108" s="43" t="str">
        <x:v>photoelectric-equation</x:v>
      </x:c>
      <x:c r="K108" s="43" t="str">
        <x:v>c12-dual-atoms</x:v>
      </x:c>
      <x:c r="L108" s="43" t="str">
        <x:v>c12-optics-modern</x:v>
      </x:c>
      <x:c r="M108" s="42" t="n">
        <x:v>95</x:v>
      </x:c>
      <x:c r="N108" s="43" t="str">
        <x:v>Misconception repair</x:v>
      </x:c>
      <x:c r="O108" s="43" t="str">
        <x:v>Use photoelectric equation and de Broglie wavelength. • Model Bohr transitions and nuclear change.</x:v>
      </x:c>
    </x:row>
    <x:row r="109">
      <x:c r="A109" s="42" t="n">
        <x:v>53</x:v>
      </x:c>
      <x:c r="B109" s="43" t="str">
        <x:v>Modern Physics</x:v>
      </x:c>
      <x:c r="C109" s="43" t="str">
        <x:v>Optics and Modern Physics</x:v>
      </x:c>
      <x:c r="D109" s="43" t="str">
        <x:v>Special Relativity Bridge</x:v>
      </x:c>
      <x:c r="E109" s="43" t="str">
        <x:v>Special Relativity Bridge</x:v>
      </x:c>
      <x:c r="F109" s="43" t="str">
        <x:v>Class 12</x:v>
      </x:c>
      <x:c r="G109" s="43" t="n">
        <x:v>12</x:v>
      </x:c>
      <x:c r="H109" s="43" t="str">
        <x:v>experiment</x:v>
      </x:c>
      <x:c r="I109" s="43" t="str">
        <x:v>Advanced</x:v>
      </x:c>
      <x:c r="J109" s="43" t="str">
        <x:v>special-relativity-bridge</x:v>
      </x:c>
      <x:c r="K109" s="43" t="str">
        <x:v>c12-relativity-bridge</x:v>
      </x:c>
      <x:c r="L109" s="43" t="str">
        <x:v>c12-optics-modern</x:v>
      </x:c>
      <x:c r="M109" s="42" t="n">
        <x:v>86</x:v>
      </x:c>
      <x:c r="N109" s="43" t="str">
        <x:v>Misconception repair</x:v>
      </x:c>
      <x:c r="O109" s="43" t="str">
        <x:v>Compare proper time, measured time, and relativistic energy at high speed. • Use spacetime diagrams to reason about simultaneity.</x:v>
      </x:c>
    </x:row>
    <x:row r="110">
      <x:c r="A110" s="42" t="n">
        <x:v>54</x:v>
      </x:c>
      <x:c r="B110" s="43" t="str">
        <x:v>Optics</x:v>
      </x:c>
      <x:c r="C110" s="43" t="str">
        <x:v>Optics and Modern Physics</x:v>
      </x:c>
      <x:c r="D110" s="43" t="str">
        <x:v>Ray Optics and Instruments</x:v>
      </x:c>
      <x:c r="E110" s="43" t="str">
        <x:v>Glass Slab Refraction</x:v>
      </x:c>
      <x:c r="F110" s="43" t="str">
        <x:v>Class 12</x:v>
      </x:c>
      <x:c r="G110" s="43" t="n">
        <x:v>12</x:v>
      </x:c>
      <x:c r="H110" s="43" t="str">
        <x:v>experiment</x:v>
      </x:c>
      <x:c r="I110" s="43" t="str">
        <x:v>Intermediate</x:v>
      </x:c>
      <x:c r="J110" s="43" t="str">
        <x:v>glass-slab-refraction</x:v>
      </x:c>
      <x:c r="K110" s="43" t="str">
        <x:v>c12-ray-optics</x:v>
      </x:c>
      <x:c r="L110" s="43" t="str">
        <x:v>c12-optics-modern</x:v>
      </x:c>
      <x:c r="M110" s="42" t="n">
        <x:v>91</x:v>
      </x:c>
      <x:c r="N110" s="43" t="str">
        <x:v>Misconception repair</x:v>
      </x:c>
      <x:c r="O110" s="43" t="str">
        <x:v>Model TIR, lenses, microscopes, and telescopes. • Use ray diagrams quantitatively.</x:v>
      </x:c>
    </x:row>
    <x:row r="111">
      <x:c r="A111" s="42" t="n">
        <x:v>56</x:v>
      </x:c>
      <x:c r="B111" s="43" t="str">
        <x:v>Optics</x:v>
      </x:c>
      <x:c r="C111" s="43" t="str">
        <x:v>Optics and Modern Physics</x:v>
      </x:c>
      <x:c r="D111" s="43" t="str">
        <x:v>Ray Optics and Instruments</x:v>
      </x:c>
      <x:c r="E111" s="43" t="str">
        <x:v>Lens Formula</x:v>
      </x:c>
      <x:c r="F111" s="43" t="str">
        <x:v>Class 12</x:v>
      </x:c>
      <x:c r="G111" s="43" t="n">
        <x:v>12</x:v>
      </x:c>
      <x:c r="H111" s="43" t="str">
        <x:v>experiment</x:v>
      </x:c>
      <x:c r="I111" s="43" t="str">
        <x:v>Intermediate</x:v>
      </x:c>
      <x:c r="J111" s="43" t="str">
        <x:v>lens-formula</x:v>
      </x:c>
      <x:c r="K111" s="43" t="str">
        <x:v>c12-ray-optics</x:v>
      </x:c>
      <x:c r="L111" s="43" t="str">
        <x:v>c12-optics-modern</x:v>
      </x:c>
      <x:c r="M111" s="42" t="n">
        <x:v>91</x:v>
      </x:c>
      <x:c r="N111" s="43" t="str">
        <x:v>Misconception repair</x:v>
      </x:c>
      <x:c r="O111" s="43" t="str">
        <x:v>Model TIR, lenses, microscopes, and telescopes. • Use ray diagrams quantitatively.</x:v>
      </x:c>
    </x:row>
    <x:row r="112">
      <x:c r="A112" s="42" t="n">
        <x:v>57</x:v>
      </x:c>
      <x:c r="B112" s="43" t="str">
        <x:v>Optics</x:v>
      </x:c>
      <x:c r="C112" s="43" t="str">
        <x:v>Optics and Modern Physics</x:v>
      </x:c>
      <x:c r="D112" s="43" t="str">
        <x:v>Ray Optics and Instruments</x:v>
      </x:c>
      <x:c r="E112" s="43" t="str">
        <x:v>Microscope and Telescope</x:v>
      </x:c>
      <x:c r="F112" s="43" t="str">
        <x:v>Class 12</x:v>
      </x:c>
      <x:c r="G112" s="43" t="n">
        <x:v>12</x:v>
      </x:c>
      <x:c r="H112" s="43" t="str">
        <x:v>experiment</x:v>
      </x:c>
      <x:c r="I112" s="43" t="str">
        <x:v>Advanced</x:v>
      </x:c>
      <x:c r="J112" s="43" t="str">
        <x:v>optical-instruments</x:v>
      </x:c>
      <x:c r="K112" s="43" t="str">
        <x:v>c12-ray-optics</x:v>
      </x:c>
      <x:c r="L112" s="43" t="str">
        <x:v>c12-optics-modern</x:v>
      </x:c>
      <x:c r="M112" s="42" t="n">
        <x:v>86</x:v>
      </x:c>
      <x:c r="N112" s="43" t="str">
        <x:v>Misconception repair</x:v>
      </x:c>
      <x:c r="O112" s="43" t="str">
        <x:v>Model TIR, lenses, microscopes, and telescopes. • Use ray diagrams quantitatively.</x:v>
      </x:c>
    </x:row>
    <x:row r="113">
      <x:c r="A113" s="42" t="n">
        <x:v>58</x:v>
      </x:c>
      <x:c r="B113" s="43" t="str">
        <x:v>Optics</x:v>
      </x:c>
      <x:c r="C113" s="43" t="str">
        <x:v>Optics and Modern Physics</x:v>
      </x:c>
      <x:c r="D113" s="43" t="str">
        <x:v>Ray Optics and Instruments</x:v>
      </x:c>
      <x:c r="E113" s="43" t="str">
        <x:v>Mirror Formula</x:v>
      </x:c>
      <x:c r="F113" s="43" t="str">
        <x:v>Class 12</x:v>
      </x:c>
      <x:c r="G113" s="43" t="n">
        <x:v>12</x:v>
      </x:c>
      <x:c r="H113" s="43" t="str">
        <x:v>experiment</x:v>
      </x:c>
      <x:c r="I113" s="43" t="str">
        <x:v>Intermediate</x:v>
      </x:c>
      <x:c r="J113" s="43" t="str">
        <x:v>mirror-formula</x:v>
      </x:c>
      <x:c r="K113" s="43" t="str">
        <x:v>c12-ray-optics</x:v>
      </x:c>
      <x:c r="L113" s="43" t="str">
        <x:v>c12-optics-modern</x:v>
      </x:c>
      <x:c r="M113" s="42" t="n">
        <x:v>91</x:v>
      </x:c>
      <x:c r="N113" s="43" t="str">
        <x:v>Misconception repair</x:v>
      </x:c>
      <x:c r="O113" s="43" t="str">
        <x:v>Model TIR, lenses, microscopes, and telescopes. • Use ray diagrams quantitatively.</x:v>
      </x:c>
    </x:row>
    <x:row r="114">
      <x:c r="A114" s="42" t="n">
        <x:v>60</x:v>
      </x:c>
      <x:c r="B114" s="43" t="str">
        <x:v>Optics</x:v>
      </x:c>
      <x:c r="C114" s="43" t="str">
        <x:v>Optics and Modern Physics</x:v>
      </x:c>
      <x:c r="D114" s="43" t="str">
        <x:v>Ray Optics and Instruments</x:v>
      </x:c>
      <x:c r="E114" s="43" t="str">
        <x:v>Prism Dispersion</x:v>
      </x:c>
      <x:c r="F114" s="43" t="str">
        <x:v>Class 12</x:v>
      </x:c>
      <x:c r="G114" s="43" t="n">
        <x:v>12</x:v>
      </x:c>
      <x:c r="H114" s="43" t="str">
        <x:v>experiment</x:v>
      </x:c>
      <x:c r="I114" s="43" t="str">
        <x:v>Intermediate</x:v>
      </x:c>
      <x:c r="J114" s="43" t="str">
        <x:v>prism-dispersion</x:v>
      </x:c>
      <x:c r="K114" s="43" t="str">
        <x:v>c12-ray-optics</x:v>
      </x:c>
      <x:c r="L114" s="43" t="str">
        <x:v>c12-optics-modern</x:v>
      </x:c>
      <x:c r="M114" s="42" t="n">
        <x:v>86</x:v>
      </x:c>
      <x:c r="N114" s="43" t="str">
        <x:v>Misconception repair</x:v>
      </x:c>
      <x:c r="O114" s="43" t="str">
        <x:v>Model TIR, lenses, microscopes, and telescopes. • Use ray diagrams quantitatively.</x:v>
      </x:c>
    </x:row>
    <x:row r="115">
      <x:c r="A115" s="42" t="n">
        <x:v>63</x:v>
      </x:c>
      <x:c r="B115" s="43" t="str">
        <x:v>Optics</x:v>
      </x:c>
      <x:c r="C115" s="43" t="str">
        <x:v>Optics and Modern Physics</x:v>
      </x:c>
      <x:c r="D115" s="43" t="str">
        <x:v>Ray Optics and Instruments</x:v>
      </x:c>
      <x:c r="E115" s="43" t="str">
        <x:v>Total Internal Reflection</x:v>
      </x:c>
      <x:c r="F115" s="43" t="str">
        <x:v>Class 12</x:v>
      </x:c>
      <x:c r="G115" s="43" t="n">
        <x:v>12</x:v>
      </x:c>
      <x:c r="H115" s="43" t="str">
        <x:v>experiment</x:v>
      </x:c>
      <x:c r="I115" s="43" t="str">
        <x:v>Intermediate</x:v>
      </x:c>
      <x:c r="J115" s="43" t="str">
        <x:v>total-internal-reflection</x:v>
      </x:c>
      <x:c r="K115" s="43" t="str">
        <x:v>c12-ray-optics</x:v>
      </x:c>
      <x:c r="L115" s="43" t="str">
        <x:v>c12-optics-modern</x:v>
      </x:c>
      <x:c r="M115" s="42" t="n">
        <x:v>86</x:v>
      </x:c>
      <x:c r="N115" s="43" t="str">
        <x:v>Misconception repair</x:v>
      </x:c>
      <x:c r="O115" s="43" t="str">
        <x:v>Model TIR, lenses, microscopes, and telescopes. • Use ray diagrams quantitatively.</x:v>
      </x:c>
    </x:row>
    <x:row r="116">
      <x:c r="A116" s="42" t="n">
        <x:v>73</x:v>
      </x:c>
      <x:c r="B116" s="43" t="str">
        <x:v>Waves</x:v>
      </x:c>
      <x:c r="C116" s="43" t="str">
        <x:v>Optics and Modern Physics</x:v>
      </x:c>
      <x:c r="D116" s="43" t="str">
        <x:v>Electromagnetic Waves</x:v>
      </x:c>
      <x:c r="E116" s="43" t="str">
        <x:v>Electromagnetic Spectrum</x:v>
      </x:c>
      <x:c r="F116" s="43" t="str">
        <x:v>Class 12</x:v>
      </x:c>
      <x:c r="G116" s="43" t="n">
        <x:v>12</x:v>
      </x:c>
      <x:c r="H116" s="43" t="str">
        <x:v>experiment</x:v>
      </x:c>
      <x:c r="I116" s="43" t="str">
        <x:v>Intermediate</x:v>
      </x:c>
      <x:c r="J116" s="43" t="str">
        <x:v>em-spectrum</x:v>
      </x:c>
      <x:c r="K116" s="43" t="str">
        <x:v>c12-em-waves</x:v>
      </x:c>
      <x:c r="L116" s="43" t="str">
        <x:v>c12-optics-modern</x:v>
      </x:c>
      <x:c r="M116" s="42" t="n">
        <x:v>95</x:v>
      </x:c>
      <x:c r="N116" s="43" t="str">
        <x:v>Misconception repair</x:v>
      </x:c>
      <x:c r="O116" s="43" t="str">
        <x:v>Connect displacement current to EM waves. • Classify EM spectrum and uses.</x:v>
      </x:c>
    </x:row>
    <x:row r="117">
      <x:c r="A117" s="42" t="n">
        <x:v>75</x:v>
      </x:c>
      <x:c r="B117" s="43" t="str">
        <x:v>Waves</x:v>
      </x:c>
      <x:c r="C117" s="43" t="str">
        <x:v>Optics and Modern Physics</x:v>
      </x:c>
      <x:c r="D117" s="43" t="str">
        <x:v>Wave Optics</x:v>
      </x:c>
      <x:c r="E117" s="43" t="str">
        <x:v>Polarization Lab</x:v>
      </x:c>
      <x:c r="F117" s="43" t="str">
        <x:v>Class 12</x:v>
      </x:c>
      <x:c r="G117" s="43" t="n">
        <x:v>12</x:v>
      </x:c>
      <x:c r="H117" s="43" t="str">
        <x:v>experiment</x:v>
      </x:c>
      <x:c r="I117" s="43" t="str">
        <x:v>Intermediate</x:v>
      </x:c>
      <x:c r="J117" s="43" t="str">
        <x:v>polarization-lab</x:v>
      </x:c>
      <x:c r="K117" s="43" t="str">
        <x:v>c12-wave-optics</x:v>
      </x:c>
      <x:c r="L117" s="43" t="str">
        <x:v>c12-optics-modern</x:v>
      </x:c>
      <x:c r="M117" s="42" t="n">
        <x:v>89</x:v>
      </x:c>
      <x:c r="N117" s="43" t="str">
        <x:v>Misconception repair</x:v>
      </x:c>
      <x:c r="O117" s="43" t="str">
        <x:v>Explore interference, diffraction, and polarization. • Measure fringe width.</x:v>
      </x:c>
    </x:row>
    <x:row r="118">
      <x:c r="A118" s="42" t="n">
        <x:v>76</x:v>
      </x:c>
      <x:c r="B118" s="43" t="str">
        <x:v>Waves</x:v>
      </x:c>
      <x:c r="C118" s="43" t="str">
        <x:v>Optics and Modern Physics</x:v>
      </x:c>
      <x:c r="D118" s="43" t="str">
        <x:v>Wave Optics</x:v>
      </x:c>
      <x:c r="E118" s="43" t="str">
        <x:v>Single Slit Diffraction</x:v>
      </x:c>
      <x:c r="F118" s="43" t="str">
        <x:v>Class 12</x:v>
      </x:c>
      <x:c r="G118" s="43" t="n">
        <x:v>12</x:v>
      </x:c>
      <x:c r="H118" s="43" t="str">
        <x:v>experiment</x:v>
      </x:c>
      <x:c r="I118" s="43" t="str">
        <x:v>Intermediate</x:v>
      </x:c>
      <x:c r="J118" s="43" t="str">
        <x:v>single-slit-diffraction</x:v>
      </x:c>
      <x:c r="K118" s="43" t="str">
        <x:v>c12-wave-optics</x:v>
      </x:c>
      <x:c r="L118" s="43" t="str">
        <x:v>c12-optics-modern</x:v>
      </x:c>
      <x:c r="M118" s="42" t="n">
        <x:v>77</x:v>
      </x:c>
      <x:c r="N118" s="43" t="str">
        <x:v>Transfer practice</x:v>
      </x:c>
      <x:c r="O118" s="43" t="str">
        <x:v>Explore interference, diffraction, and polarization. • Measure fringe width.</x:v>
      </x:c>
    </x:row>
    <x:row r="119">
      <x:c r="A119" s="42" t="n">
        <x:v>79</x:v>
      </x:c>
      <x:c r="B119" s="43" t="str">
        <x:v>Waves</x:v>
      </x:c>
      <x:c r="C119" s="43" t="str">
        <x:v>Optics and Modern Physics</x:v>
      </x:c>
      <x:c r="D119" s="43" t="str">
        <x:v>Wave Optics</x:v>
      </x:c>
      <x:c r="E119" s="43" t="str">
        <x:v>Wave Lab</x:v>
      </x:c>
      <x:c r="F119" s="43" t="str">
        <x:v>Class 12</x:v>
      </x:c>
      <x:c r="G119" s="43" t="n">
        <x:v>12</x:v>
      </x:c>
      <x:c r="H119" s="43" t="str">
        <x:v>experiment</x:v>
      </x:c>
      <x:c r="I119" s="43" t="str">
        <x:v>Intermediate</x:v>
      </x:c>
      <x:c r="J119" s="43" t="str">
        <x:v>wave-lab</x:v>
      </x:c>
      <x:c r="K119" s="43" t="str">
        <x:v>c12-wave-optics</x:v>
      </x:c>
      <x:c r="L119" s="43" t="str">
        <x:v>c12-optics-modern</x:v>
      </x:c>
      <x:c r="M119" s="42" t="n">
        <x:v>79</x:v>
      </x:c>
      <x:c r="N119" s="43" t="str">
        <x:v>Measurement skill</x:v>
      </x:c>
      <x:c r="O119" s="43" t="str">
        <x:v>Explore interference, diffraction, and polarization. • Measure fringe width.</x:v>
      </x:c>
    </x:row>
    <x:row r="120">
      <x:c r="A120" s="42" t="n">
        <x:v>80</x:v>
      </x:c>
      <x:c r="B120" s="43" t="str">
        <x:v>Waves</x:v>
      </x:c>
      <x:c r="C120" s="43" t="str">
        <x:v>Optics and Modern Physics</x:v>
      </x:c>
      <x:c r="D120" s="43" t="str">
        <x:v>Wave Optics</x:v>
      </x:c>
      <x:c r="E120" s="43" t="str">
        <x:v>Young's Double Slit</x:v>
      </x:c>
      <x:c r="F120" s="43" t="str">
        <x:v>Class 12</x:v>
      </x:c>
      <x:c r="G120" s="43" t="n">
        <x:v>12</x:v>
      </x:c>
      <x:c r="H120" s="43" t="str">
        <x:v>experiment</x:v>
      </x:c>
      <x:c r="I120" s="43" t="str">
        <x:v>Intermediate</x:v>
      </x:c>
      <x:c r="J120" s="43" t="str">
        <x:v>young-double-slit</x:v>
      </x:c>
      <x:c r="K120" s="43" t="str">
        <x:v>c12-wave-optics</x:v>
      </x:c>
      <x:c r="L120" s="43" t="str">
        <x:v>c12-optics-modern</x:v>
      </x:c>
      <x:c r="M120" s="42" t="n">
        <x:v>89</x:v>
      </x:c>
      <x:c r="N120" s="43" t="str">
        <x:v>Misconception repair</x:v>
      </x:c>
      <x:c r="O120" s="43" t="str">
        <x:v>Explore interference, diffraction, and polarization. • Measure fringe width.</x:v>
      </x:c>
    </x:row>
    <x:row r="121">
      <x:c r="A121" s="42" t="n">
        <x:v>4</x:v>
      </x:c>
      <x:c r="B121" s="43" t="str">
        <x:v>Electricity</x:v>
      </x:c>
      <x:c r="C121" s="43" t="str">
        <x:v>Core Physics</x:v>
      </x:c>
      <x:c r="D121" s="43" t="str">
        <x:v>Electrodynamics</x:v>
      </x:c>
      <x:c r="E121" s="43" t="str">
        <x:v>AC LCR Resonance</x:v>
      </x:c>
      <x:c r="F121" s="43" t="str">
        <x:v>Undergraduate</x:v>
      </x:c>
      <x:c r="G121" s="43" t="n">
        <x:v>13</x:v>
      </x:c>
      <x:c r="H121" s="43" t="str">
        <x:v>experiment</x:v>
      </x:c>
      <x:c r="I121" s="43" t="str">
        <x:v>Intermediate</x:v>
      </x:c>
      <x:c r="J121" s="43" t="str">
        <x:v>ac-lcr-resonance</x:v>
      </x:c>
      <x:c r="K121" s="43" t="str">
        <x:v>ug-electrodynamics</x:v>
      </x:c>
      <x:c r="L121" s="43" t="str">
        <x:v>ug-core</x:v>
      </x:c>
      <x:c r="M121" s="42" t="n">
        <x:v>86</x:v>
      </x:c>
      <x:c r="N121" s="43" t="str">
        <x:v>Misconception repair</x:v>
      </x:c>
      <x:c r="O121" s="43" t="str">
        <x:v>Connect fields, potentials, induction, waves, and circuits.</x:v>
      </x:c>
    </x:row>
    <x:row r="122">
      <x:c r="A122" s="42" t="n">
        <x:v>9</x:v>
      </x:c>
      <x:c r="B122" s="43" t="str">
        <x:v>Electricity</x:v>
      </x:c>
      <x:c r="C122" s="43" t="str">
        <x:v>Core Physics</x:v>
      </x:c>
      <x:c r="D122" s="43" t="str">
        <x:v>Electrodynamics</x:v>
      </x:c>
      <x:c r="E122" s="43" t="str">
        <x:v>Electrostatic Field and Potential</x:v>
      </x:c>
      <x:c r="F122" s="43" t="str">
        <x:v>Undergraduate</x:v>
      </x:c>
      <x:c r="G122" s="43" t="n">
        <x:v>13</x:v>
      </x:c>
      <x:c r="H122" s="43" t="str">
        <x:v>experiment</x:v>
      </x:c>
      <x:c r="I122" s="43" t="str">
        <x:v>Intermediate</x:v>
      </x:c>
      <x:c r="J122" s="43" t="str">
        <x:v>electrostatic-field-potential</x:v>
      </x:c>
      <x:c r="K122" s="43" t="str">
        <x:v>ug-electrodynamics</x:v>
      </x:c>
      <x:c r="L122" s="43" t="str">
        <x:v>ug-core</x:v>
      </x:c>
      <x:c r="M122" s="42" t="n">
        <x:v>86</x:v>
      </x:c>
      <x:c r="N122" s="43" t="str">
        <x:v>Misconception repair</x:v>
      </x:c>
      <x:c r="O122" s="43" t="str">
        <x:v>Connect fields, potentials, induction, waves, and circuits.</x:v>
      </x:c>
    </x:row>
    <x:row r="123">
      <x:c r="A123" s="42" t="n">
        <x:v>10</x:v>
      </x:c>
      <x:c r="B123" s="43" t="str">
        <x:v>Electricity</x:v>
      </x:c>
      <x:c r="C123" s="43" t="str">
        <x:v>Core Physics</x:v>
      </x:c>
      <x:c r="D123" s="43" t="str">
        <x:v>Electrodynamics</x:v>
      </x:c>
      <x:c r="E123" s="43" t="str">
        <x:v>Faraday Induction</x:v>
      </x:c>
      <x:c r="F123" s="43" t="str">
        <x:v>Undergraduate</x:v>
      </x:c>
      <x:c r="G123" s="43" t="n">
        <x:v>13</x:v>
      </x:c>
      <x:c r="H123" s="43" t="str">
        <x:v>experiment</x:v>
      </x:c>
      <x:c r="I123" s="43" t="str">
        <x:v>Intermediate</x:v>
      </x:c>
      <x:c r="J123" s="43" t="str">
        <x:v>emi-faraday</x:v>
      </x:c>
      <x:c r="K123" s="43" t="str">
        <x:v>ug-electrodynamics</x:v>
      </x:c>
      <x:c r="L123" s="43" t="str">
        <x:v>ug-core</x:v>
      </x:c>
      <x:c r="M123" s="42" t="n">
        <x:v>83</x:v>
      </x:c>
      <x:c r="N123" s="43" t="str">
        <x:v>Misconception repair</x:v>
      </x:c>
      <x:c r="O123" s="43" t="str">
        <x:v>Connect fields, potentials, induction, waves, and circuits.</x:v>
      </x:c>
    </x:row>
    <x:row r="124">
      <x:c r="A124" s="42" t="n">
        <x:v>43</x:v>
      </x:c>
      <x:c r="B124" s="43" t="str">
        <x:v>Mechanics</x:v>
      </x:c>
      <x:c r="C124" s="43" t="str">
        <x:v>Core Physics</x:v>
      </x:c>
      <x:c r="D124" s="43" t="str">
        <x:v>Analytical Mechanics</x:v>
      </x:c>
      <x:c r="E124" s="43" t="str">
        <x:v>Rotational Dynamics</x:v>
      </x:c>
      <x:c r="F124" s="43" t="str">
        <x:v>Undergraduate</x:v>
      </x:c>
      <x:c r="G124" s="43" t="n">
        <x:v>13</x:v>
      </x:c>
      <x:c r="H124" s="43" t="str">
        <x:v>experiment</x:v>
      </x:c>
      <x:c r="I124" s="43" t="str">
        <x:v>Intermediate</x:v>
      </x:c>
      <x:c r="J124" s="43" t="str">
        <x:v>rotational-dynamics</x:v>
      </x:c>
      <x:c r="K124" s="43" t="str">
        <x:v>ug-classical-mechanics</x:v>
      </x:c>
      <x:c r="L124" s="43" t="str">
        <x:v>ug-core</x:v>
      </x:c>
      <x:c r="M124" s="42" t="n">
        <x:v>86</x:v>
      </x:c>
      <x:c r="N124" s="43" t="str">
        <x:v>Misconception repair</x:v>
      </x:c>
      <x:c r="O124" s="43" t="str">
        <x:v>Model Lagrangian ideas, constraints, oscillations, and central forces.</x:v>
      </x:c>
    </x:row>
    <x:row r="125">
      <x:c r="A125" s="42" t="n">
        <x:v>1</x:v>
      </x:c>
      <x:c r="B125" s="43" t="str">
        <x:v>Astronomy</x:v>
      </x:c>
      <x:c r="C125" s="43" t="str">
        <x:v>Core Physics</x:v>
      </x:c>
      <x:c r="D125" s="43" t="str">
        <x:v>Analytical Mechanics</x:v>
      </x:c>
      <x:c r="E125" s="43" t="str">
        <x:v>Satellite Orbit and Escape Speed</x:v>
      </x:c>
      <x:c r="F125" s="43" t="str">
        <x:v>Undergraduate</x:v>
      </x:c>
      <x:c r="G125" s="43" t="n">
        <x:v>13</x:v>
      </x:c>
      <x:c r="H125" s="43" t="str">
        <x:v>experiment</x:v>
      </x:c>
      <x:c r="I125" s="43" t="str">
        <x:v>Intermediate</x:v>
      </x:c>
      <x:c r="J125" s="43" t="str">
        <x:v>satellite-orbit</x:v>
      </x:c>
      <x:c r="K125" s="43" t="str">
        <x:v>ug-classical-mechanics</x:v>
      </x:c>
      <x:c r="L125" s="43" t="str">
        <x:v>ug-core</x:v>
      </x:c>
      <x:c r="M125" s="42" t="n">
        <x:v>86</x:v>
      </x:c>
      <x:c r="N125" s="43" t="str">
        <x:v>Misconception repair</x:v>
      </x:c>
      <x:c r="O125" s="43" t="str">
        <x:v>Model Lagrangian ideas, constraints, oscillations, and central forces.</x:v>
      </x:c>
    </x:row>
    <x:row r="126">
      <x:c r="A126" s="42" t="n">
        <x:v>44</x:v>
      </x:c>
      <x:c r="B126" s="43" t="str">
        <x:v>Mechanics</x:v>
      </x:c>
      <x:c r="C126" s="43" t="str">
        <x:v>Core Physics</x:v>
      </x:c>
      <x:c r="D126" s="43" t="str">
        <x:v>Analytical Mechanics</x:v>
      </x:c>
      <x:c r="E126" s="43" t="str">
        <x:v>Simple Pendulum</x:v>
      </x:c>
      <x:c r="F126" s="43" t="str">
        <x:v>Undergraduate</x:v>
      </x:c>
      <x:c r="G126" s="43" t="n">
        <x:v>13</x:v>
      </x:c>
      <x:c r="H126" s="43" t="str">
        <x:v>experiment</x:v>
      </x:c>
      <x:c r="I126" s="43" t="str">
        <x:v>Intermediate</x:v>
      </x:c>
      <x:c r="J126" s="43" t="str">
        <x:v>simple-pendulum</x:v>
      </x:c>
      <x:c r="K126" s="43" t="str">
        <x:v>ug-classical-mechanics</x:v>
      </x:c>
      <x:c r="L126" s="43" t="str">
        <x:v>ug-core</x:v>
      </x:c>
      <x:c r="M126" s="42" t="n">
        <x:v>90</x:v>
      </x:c>
      <x:c r="N126" s="43" t="str">
        <x:v>Misconception repair</x:v>
      </x:c>
      <x:c r="O126" s="43" t="str">
        <x:v>Model Lagrangian ideas, constraints, oscillations, and central forces.</x:v>
      </x:c>
    </x:row>
    <x:row r="127">
      <x:c r="A127" s="42" t="n">
        <x:v>49</x:v>
      </x:c>
      <x:c r="B127" s="43" t="str">
        <x:v>Modern Physics</x:v>
      </x:c>
      <x:c r="C127" s="43" t="str">
        <x:v>Core Physics</x:v>
      </x:c>
      <x:c r="D127" s="43" t="str">
        <x:v>Quantum Mechanics</x:v>
      </x:c>
      <x:c r="E127" s="43" t="str">
        <x:v>Bohr Atom Transitions</x:v>
      </x:c>
      <x:c r="F127" s="43" t="str">
        <x:v>Undergraduate</x:v>
      </x:c>
      <x:c r="G127" s="43" t="n">
        <x:v>13</x:v>
      </x:c>
      <x:c r="H127" s="43" t="str">
        <x:v>experiment</x:v>
      </x:c>
      <x:c r="I127" s="43" t="str">
        <x:v>Intermediate</x:v>
      </x:c>
      <x:c r="J127" s="43" t="str">
        <x:v>bohr-model</x:v>
      </x:c>
      <x:c r="K127" s="43" t="str">
        <x:v>ug-quantum</x:v>
      </x:c>
      <x:c r="L127" s="43" t="str">
        <x:v>ug-core</x:v>
      </x:c>
      <x:c r="M127" s="42" t="n">
        <x:v>86</x:v>
      </x:c>
      <x:c r="N127" s="43" t="str">
        <x:v>Misconception repair</x:v>
      </x:c>
      <x:c r="O127" s="43" t="str">
        <x:v>Explore wave-particle duality, wells, tunneling, and atomic spectra.</x:v>
      </x:c>
    </x:row>
    <x:row r="128">
      <x:c r="A128" s="42" t="n">
        <x:v>50</x:v>
      </x:c>
      <x:c r="B128" s="43" t="str">
        <x:v>Modern Physics</x:v>
      </x:c>
      <x:c r="C128" s="43" t="str">
        <x:v>Core Physics</x:v>
      </x:c>
      <x:c r="D128" s="43" t="str">
        <x:v>Quantum Mechanics</x:v>
      </x:c>
      <x:c r="E128" s="43" t="str">
        <x:v>de Broglie Wavelength</x:v>
      </x:c>
      <x:c r="F128" s="43" t="str">
        <x:v>Undergraduate</x:v>
      </x:c>
      <x:c r="G128" s="43" t="n">
        <x:v>13</x:v>
      </x:c>
      <x:c r="H128" s="43" t="str">
        <x:v>experiment</x:v>
      </x:c>
      <x:c r="I128" s="43" t="str">
        <x:v>Intermediate</x:v>
      </x:c>
      <x:c r="J128" s="43" t="str">
        <x:v>de-broglie-wavelength</x:v>
      </x:c>
      <x:c r="K128" s="43" t="str">
        <x:v>ug-quantum</x:v>
      </x:c>
      <x:c r="L128" s="43" t="str">
        <x:v>ug-core</x:v>
      </x:c>
      <x:c r="M128" s="42" t="n">
        <x:v>86</x:v>
      </x:c>
      <x:c r="N128" s="43" t="str">
        <x:v>Misconception repair</x:v>
      </x:c>
      <x:c r="O128" s="43" t="str">
        <x:v>Explore wave-particle duality, wells, tunneling, and atomic spectra.</x:v>
      </x:c>
    </x:row>
    <x:row r="129">
      <x:c r="A129" s="42" t="n">
        <x:v>52</x:v>
      </x:c>
      <x:c r="B129" s="43" t="str">
        <x:v>Modern Physics</x:v>
      </x:c>
      <x:c r="C129" s="43" t="str">
        <x:v>Core Physics</x:v>
      </x:c>
      <x:c r="D129" s="43" t="str">
        <x:v>Quantum Mechanics</x:v>
      </x:c>
      <x:c r="E129" s="43" t="str">
        <x:v>Photoelectric Equation</x:v>
      </x:c>
      <x:c r="F129" s="43" t="str">
        <x:v>Undergraduate</x:v>
      </x:c>
      <x:c r="G129" s="43" t="n">
        <x:v>13</x:v>
      </x:c>
      <x:c r="H129" s="43" t="str">
        <x:v>experiment</x:v>
      </x:c>
      <x:c r="I129" s="43" t="str">
        <x:v>Intermediate</x:v>
      </x:c>
      <x:c r="J129" s="43" t="str">
        <x:v>photoelectric-equation</x:v>
      </x:c>
      <x:c r="K129" s="43" t="str">
        <x:v>ug-quantum</x:v>
      </x:c>
      <x:c r="L129" s="43" t="str">
        <x:v>ug-core</x:v>
      </x:c>
      <x:c r="M129" s="42" t="n">
        <x:v>95</x:v>
      </x:c>
      <x:c r="N129" s="43" t="str">
        <x:v>Misconception repair</x:v>
      </x:c>
      <x:c r="O129" s="43" t="str">
        <x:v>Explore wave-particle duality, wells, tunneling, and atomic spectra.</x:v>
      </x:c>
    </x:row>
    <x:row r="130">
      <x:c r="A130" s="42" t="n">
        <x:v>66</x:v>
      </x:c>
      <x:c r="B130" s="43" t="str">
        <x:v>Thermodynamics</x:v>
      </x:c>
      <x:c r="C130" s="43" t="str">
        <x:v>Core Physics</x:v>
      </x:c>
      <x:c r="D130" s="43" t="str">
        <x:v>Statistical and Thermal Physics</x:v>
      </x:c>
      <x:c r="E130" s="43" t="str">
        <x:v>Gas Laws and Kinetic Theory</x:v>
      </x:c>
      <x:c r="F130" s="43" t="str">
        <x:v>Undergraduate</x:v>
      </x:c>
      <x:c r="G130" s="43" t="n">
        <x:v>13</x:v>
      </x:c>
      <x:c r="H130" s="43" t="str">
        <x:v>experiment</x:v>
      </x:c>
      <x:c r="I130" s="43" t="str">
        <x:v>Intermediate</x:v>
      </x:c>
      <x:c r="J130" s="43" t="str">
        <x:v>gas-laws</x:v>
      </x:c>
      <x:c r="K130" s="43" t="str">
        <x:v>ug-stat-thermal</x:v>
      </x:c>
      <x:c r="L130" s="43" t="str">
        <x:v>ug-core</x:v>
      </x:c>
      <x:c r="M130" s="42" t="n">
        <x:v>95</x:v>
      </x:c>
      <x:c r="N130" s="43" t="str">
        <x:v>Misconception repair</x:v>
      </x:c>
      <x:c r="O130" s="43" t="str">
        <x:v>Connect microscopic states to temperature, pressure, entropy, and heat flow.</x:v>
      </x:c>
    </x:row>
    <x:row r="131">
      <x:c r="A131" s="42" t="n">
        <x:v>68</x:v>
      </x:c>
      <x:c r="B131" s="43" t="str">
        <x:v>Thermodynamics</x:v>
      </x:c>
      <x:c r="C131" s="43" t="str">
        <x:v>Core Physics</x:v>
      </x:c>
      <x:c r="D131" s="43" t="str">
        <x:v>Statistical and Thermal Physics</x:v>
      </x:c>
      <x:c r="E131" s="43" t="str">
        <x:v>Heat Transfer</x:v>
      </x:c>
      <x:c r="F131" s="43" t="str">
        <x:v>Undergraduate</x:v>
      </x:c>
      <x:c r="G131" s="43" t="n">
        <x:v>13</x:v>
      </x:c>
      <x:c r="H131" s="43" t="str">
        <x:v>experiment</x:v>
      </x:c>
      <x:c r="I131" s="43" t="str">
        <x:v>Beginner</x:v>
      </x:c>
      <x:c r="J131" s="43" t="str">
        <x:v>heat-transfer</x:v>
      </x:c>
      <x:c r="K131" s="43" t="str">
        <x:v>ug-stat-thermal</x:v>
      </x:c>
      <x:c r="L131" s="43" t="str">
        <x:v>ug-core</x:v>
      </x:c>
      <x:c r="M131" s="42" t="n">
        <x:v>86</x:v>
      </x:c>
      <x:c r="N131" s="43" t="str">
        <x:v>Misconception repair</x:v>
      </x:c>
      <x:c r="O131" s="43" t="str">
        <x:v>Connect microscopic states to temperature, pressure, entropy, and heat flow.</x:v>
      </x:c>
    </x:row>
    <x:row r="132">
      <x:c r="A132" s="42" t="n">
        <x:v>70</x:v>
      </x:c>
      <x:c r="B132" s="43" t="str">
        <x:v>Thermodynamics</x:v>
      </x:c>
      <x:c r="C132" s="43" t="str">
        <x:v>Core Physics</x:v>
      </x:c>
      <x:c r="D132" s="43" t="str">
        <x:v>Statistical and Thermal Physics</x:v>
      </x:c>
      <x:c r="E132" s="43" t="str">
        <x:v>Thermodynamic Processes</x:v>
      </x:c>
      <x:c r="F132" s="43" t="str">
        <x:v>Undergraduate</x:v>
      </x:c>
      <x:c r="G132" s="43" t="n">
        <x:v>13</x:v>
      </x:c>
      <x:c r="H132" s="43" t="str">
        <x:v>experiment</x:v>
      </x:c>
      <x:c r="I132" s="43" t="str">
        <x:v>Intermediate</x:v>
      </x:c>
      <x:c r="J132" s="43" t="str">
        <x:v>thermodynamic-process</x:v>
      </x:c>
      <x:c r="K132" s="43" t="str">
        <x:v>ug-stat-thermal</x:v>
      </x:c>
      <x:c r="L132" s="43" t="str">
        <x:v>ug-core</x:v>
      </x:c>
      <x:c r="M132" s="42" t="n">
        <x:v>86</x:v>
      </x:c>
      <x:c r="N132" s="43" t="str">
        <x:v>Misconception repair</x:v>
      </x:c>
      <x:c r="O132" s="43" t="str">
        <x:v>Connect microscopic states to temperature, pressure, entropy, and heat flow.</x:v>
      </x:c>
    </x:row>
    <x:row r="133">
      <x:c r="A133" s="42" t="n">
        <x:v>75</x:v>
      </x:c>
      <x:c r="B133" s="43" t="str">
        <x:v>Waves</x:v>
      </x:c>
      <x:c r="C133" s="43" t="str">
        <x:v>Core Physics</x:v>
      </x:c>
      <x:c r="D133" s="43" t="str">
        <x:v>Optics and Waves</x:v>
      </x:c>
      <x:c r="E133" s="43" t="str">
        <x:v>Polarization Lab</x:v>
      </x:c>
      <x:c r="F133" s="43" t="str">
        <x:v>Undergraduate</x:v>
      </x:c>
      <x:c r="G133" s="43" t="n">
        <x:v>13</x:v>
      </x:c>
      <x:c r="H133" s="43" t="str">
        <x:v>experiment</x:v>
      </x:c>
      <x:c r="I133" s="43" t="str">
        <x:v>Intermediate</x:v>
      </x:c>
      <x:c r="J133" s="43" t="str">
        <x:v>polarization-lab</x:v>
      </x:c>
      <x:c r="K133" s="43" t="str">
        <x:v>ug-optics-waves</x:v>
      </x:c>
      <x:c r="L133" s="43" t="str">
        <x:v>ug-core</x:v>
      </x:c>
      <x:c r="M133" s="42" t="n">
        <x:v>89</x:v>
      </x:c>
      <x:c r="N133" s="43" t="str">
        <x:v>Misconception repair</x:v>
      </x:c>
      <x:c r="O133" s="43" t="str">
        <x:v>Compare interference, diffraction, polarization, and wave packets.</x:v>
      </x:c>
    </x:row>
    <x:row r="134">
      <x:c r="A134" s="42" t="n">
        <x:v>76</x:v>
      </x:c>
      <x:c r="B134" s="43" t="str">
        <x:v>Waves</x:v>
      </x:c>
      <x:c r="C134" s="43" t="str">
        <x:v>Core Physics</x:v>
      </x:c>
      <x:c r="D134" s="43" t="str">
        <x:v>Optics and Waves</x:v>
      </x:c>
      <x:c r="E134" s="43" t="str">
        <x:v>Single Slit Diffraction</x:v>
      </x:c>
      <x:c r="F134" s="43" t="str">
        <x:v>Undergraduate</x:v>
      </x:c>
      <x:c r="G134" s="43" t="n">
        <x:v>13</x:v>
      </x:c>
      <x:c r="H134" s="43" t="str">
        <x:v>experiment</x:v>
      </x:c>
      <x:c r="I134" s="43" t="str">
        <x:v>Intermediate</x:v>
      </x:c>
      <x:c r="J134" s="43" t="str">
        <x:v>single-slit-diffraction</x:v>
      </x:c>
      <x:c r="K134" s="43" t="str">
        <x:v>ug-optics-waves</x:v>
      </x:c>
      <x:c r="L134" s="43" t="str">
        <x:v>ug-core</x:v>
      </x:c>
      <x:c r="M134" s="42" t="n">
        <x:v>77</x:v>
      </x:c>
      <x:c r="N134" s="43" t="str">
        <x:v>Transfer practice</x:v>
      </x:c>
      <x:c r="O134" s="43" t="str">
        <x:v>Compare interference, diffraction, polarization, and wave packets.</x:v>
      </x:c>
    </x:row>
    <x:row r="135">
      <x:c r="A135" s="42" t="n">
        <x:v>80</x:v>
      </x:c>
      <x:c r="B135" s="43" t="str">
        <x:v>Waves</x:v>
      </x:c>
      <x:c r="C135" s="43" t="str">
        <x:v>Core Physics</x:v>
      </x:c>
      <x:c r="D135" s="43" t="str">
        <x:v>Optics and Waves</x:v>
      </x:c>
      <x:c r="E135" s="43" t="str">
        <x:v>Young's Double Slit</x:v>
      </x:c>
      <x:c r="F135" s="43" t="str">
        <x:v>Undergraduate</x:v>
      </x:c>
      <x:c r="G135" s="43" t="n">
        <x:v>13</x:v>
      </x:c>
      <x:c r="H135" s="43" t="str">
        <x:v>experiment</x:v>
      </x:c>
      <x:c r="I135" s="43" t="str">
        <x:v>Intermediate</x:v>
      </x:c>
      <x:c r="J135" s="43" t="str">
        <x:v>young-double-slit</x:v>
      </x:c>
      <x:c r="K135" s="43" t="str">
        <x:v>ug-optics-waves</x:v>
      </x:c>
      <x:c r="L135" s="43" t="str">
        <x:v>ug-core</x:v>
      </x:c>
      <x:c r="M135" s="42" t="n">
        <x:v>89</x:v>
      </x:c>
      <x:c r="N135" s="43" t="str">
        <x:v>Misconception repair</x:v>
      </x:c>
      <x:c r="O135" s="43" t="str">
        <x:v>Compare interference, diffraction, polarization, and wave packets.</x:v>
      </x:c>
    </x:row>
    <x:row r="136">
      <x:c r="A136" s="42" t="n">
        <x:v>73</x:v>
      </x:c>
      <x:c r="B136" s="43" t="str">
        <x:v>Waves</x:v>
      </x:c>
      <x:c r="C136" s="43" t="str">
        <x:v>Advanced Physics</x:v>
      </x:c>
      <x:c r="D136" s="43" t="str">
        <x:v>Plasma and Astrophysics</x:v>
      </x:c>
      <x:c r="E136" s="43" t="str">
        <x:v>Electromagnetic Spectrum</x:v>
      </x:c>
      <x:c r="F136" s="43" t="str">
        <x:v>Postgraduate</x:v>
      </x:c>
      <x:c r="G136" s="43" t="n">
        <x:v>14</x:v>
      </x:c>
      <x:c r="H136" s="43" t="str">
        <x:v>experiment</x:v>
      </x:c>
      <x:c r="I136" s="43" t="str">
        <x:v>Intermediate</x:v>
      </x:c>
      <x:c r="J136" s="43" t="str">
        <x:v>em-spectrum</x:v>
      </x:c>
      <x:c r="K136" s="43" t="str">
        <x:v>pg-plasma-astrophysics</x:v>
      </x:c>
      <x:c r="L136" s="43" t="str">
        <x:v>pg-advanced</x:v>
      </x:c>
      <x:c r="M136" s="42" t="n">
        <x:v>95</x:v>
      </x:c>
      <x:c r="N136" s="43" t="str">
        <x:v>Misconception repair</x:v>
      </x:c>
      <x:c r="O136" s="43" t="str">
        <x:v>Link charged fluids, stars, compact objects, and cosmology.</x:v>
      </x:c>
    </x:row>
    <x:row r="137">
      <x:c r="A137" s="42" t="n">
        <x:v>1</x:v>
      </x:c>
      <x:c r="B137" s="43" t="str">
        <x:v>Astronomy</x:v>
      </x:c>
      <x:c r="C137" s="43" t="str">
        <x:v>Advanced Physics</x:v>
      </x:c>
      <x:c r="D137" s="43" t="str">
        <x:v>Plasma and Astrophysics</x:v>
      </x:c>
      <x:c r="E137" s="43" t="str">
        <x:v>Satellite Orbit and Escape Speed</x:v>
      </x:c>
      <x:c r="F137" s="43" t="str">
        <x:v>Postgraduate</x:v>
      </x:c>
      <x:c r="G137" s="43" t="n">
        <x:v>14</x:v>
      </x:c>
      <x:c r="H137" s="43" t="str">
        <x:v>experiment</x:v>
      </x:c>
      <x:c r="I137" s="43" t="str">
        <x:v>Intermediate</x:v>
      </x:c>
      <x:c r="J137" s="43" t="str">
        <x:v>satellite-orbit</x:v>
      </x:c>
      <x:c r="K137" s="43" t="str">
        <x:v>pg-plasma-astrophysics</x:v>
      </x:c>
      <x:c r="L137" s="43" t="str">
        <x:v>pg-advanced</x:v>
      </x:c>
      <x:c r="M137" s="42" t="n">
        <x:v>86</x:v>
      </x:c>
      <x:c r="N137" s="43" t="str">
        <x:v>Misconception repair</x:v>
      </x:c>
      <x:c r="O137" s="43" t="str">
        <x:v>Link charged fluids, stars, compact objects, and cosmology.</x:v>
      </x:c>
    </x:row>
    <x:row r="138">
      <x:c r="A138" s="42" t="n">
        <x:v>18</x:v>
      </x:c>
      <x:c r="B138" s="43" t="str">
        <x:v>Electronics</x:v>
      </x:c>
      <x:c r="C138" s="43" t="str">
        <x:v>Advanced Physics</x:v>
      </x:c>
      <x:c r="D138" s="43" t="str">
        <x:v>Condensed Matter</x:v>
      </x:c>
      <x:c r="E138" s="43" t="str">
        <x:v>Logic Gates</x:v>
      </x:c>
      <x:c r="F138" s="43" t="str">
        <x:v>Postgraduate</x:v>
      </x:c>
      <x:c r="G138" s="43" t="n">
        <x:v>14</x:v>
      </x:c>
      <x:c r="H138" s="43" t="str">
        <x:v>experiment</x:v>
      </x:c>
      <x:c r="I138" s="43" t="str">
        <x:v>Beginner</x:v>
      </x:c>
      <x:c r="J138" s="43" t="str">
        <x:v>logic-gates</x:v>
      </x:c>
      <x:c r="K138" s="43" t="str">
        <x:v>pg-condensed-matter</x:v>
      </x:c>
      <x:c r="L138" s="43" t="str">
        <x:v>pg-advanced</x:v>
      </x:c>
      <x:c r="M138" s="42" t="n">
        <x:v>86</x:v>
      </x:c>
      <x:c r="N138" s="43" t="str">
        <x:v>Misconception repair</x:v>
      </x:c>
      <x:c r="O138" s="43" t="str">
        <x:v>Model bands, lattices, phonons, and semiconductors.</x:v>
      </x:c>
    </x:row>
    <x:row r="139">
      <x:c r="A139" s="42" t="n">
        <x:v>19</x:v>
      </x:c>
      <x:c r="B139" s="43" t="str">
        <x:v>Electronics</x:v>
      </x:c>
      <x:c r="C139" s="43" t="str">
        <x:v>Advanced Physics</x:v>
      </x:c>
      <x:c r="D139" s="43" t="str">
        <x:v>Condensed Matter</x:v>
      </x:c>
      <x:c r="E139" s="43" t="str">
        <x:v>Semiconductor Diode and Rectifier</x:v>
      </x:c>
      <x:c r="F139" s="43" t="str">
        <x:v>Postgraduate</x:v>
      </x:c>
      <x:c r="G139" s="43" t="n">
        <x:v>14</x:v>
      </x:c>
      <x:c r="H139" s="43" t="str">
        <x:v>experiment</x:v>
      </x:c>
      <x:c r="I139" s="43" t="str">
        <x:v>Intermediate</x:v>
      </x:c>
      <x:c r="J139" s="43" t="str">
        <x:v>semiconductor-diode</x:v>
      </x:c>
      <x:c r="K139" s="43" t="str">
        <x:v>pg-condensed-matter</x:v>
      </x:c>
      <x:c r="L139" s="43" t="str">
        <x:v>pg-advanced</x:v>
      </x:c>
      <x:c r="M139" s="42" t="n">
        <x:v>86</x:v>
      </x:c>
      <x:c r="N139" s="43" t="str">
        <x:v>Misconception repair</x:v>
      </x:c>
      <x:c r="O139" s="43" t="str">
        <x:v>Model bands, lattices, phonons, and semiconductors.</x:v>
      </x:c>
    </x:row>
    <x:row r="140">
      <x:c r="A140" s="42" t="n">
        <x:v>48</x:v>
      </x:c>
      <x:c r="B140" s="43" t="str">
        <x:v>Modern Physics</x:v>
      </x:c>
      <x:c r="C140" s="43" t="str">
        <x:v>Advanced Physics</x:v>
      </x:c>
      <x:c r="D140" s="43" t="str">
        <x:v>Advanced Quantum Mechanics</x:v>
      </x:c>
      <x:c r="E140" s="43" t="str">
        <x:v>Advanced Quantum Operators</x:v>
      </x:c>
      <x:c r="F140" s="43" t="str">
        <x:v>Postgraduate</x:v>
      </x:c>
      <x:c r="G140" s="43" t="n">
        <x:v>14</x:v>
      </x:c>
      <x:c r="H140" s="43" t="str">
        <x:v>experiment</x:v>
      </x:c>
      <x:c r="I140" s="43" t="str">
        <x:v>Advanced</x:v>
      </x:c>
      <x:c r="J140" s="43" t="str">
        <x:v>advanced-quantum-operators</x:v>
      </x:c>
      <x:c r="K140" s="43" t="str">
        <x:v>pg-advanced-quantum</x:v>
      </x:c>
      <x:c r="L140" s="43" t="str">
        <x:v>pg-advanced</x:v>
      </x:c>
      <x:c r="M140" s="42" t="n">
        <x:v>85</x:v>
      </x:c>
      <x:c r="N140" s="43" t="str">
        <x:v>Misconception repair</x:v>
      </x:c>
      <x:c r="O140" s="43" t="str">
        <x:v>Cover operators, spin, perturbation, scattering, and identical particles.</x:v>
      </x:c>
    </x:row>
    <x:row r="141">
      <x:c r="A141" s="42" t="n">
        <x:v>51</x:v>
      </x:c>
      <x:c r="B141" s="43" t="str">
        <x:v>Modern Physics</x:v>
      </x:c>
      <x:c r="C141" s="43" t="str">
        <x:v>Advanced Physics</x:v>
      </x:c>
      <x:c r="D141" s="43" t="str">
        <x:v>Nuclear and Particle Physics</x:v>
      </x:c>
      <x:c r="E141" s="43" t="str">
        <x:v>Nuclear Decay and Half-Life</x:v>
      </x:c>
      <x:c r="F141" s="43" t="str">
        <x:v>Postgraduate</x:v>
      </x:c>
      <x:c r="G141" s="43" t="n">
        <x:v>14</x:v>
      </x:c>
      <x:c r="H141" s="43" t="str">
        <x:v>experiment</x:v>
      </x:c>
      <x:c r="I141" s="43" t="str">
        <x:v>Intermediate</x:v>
      </x:c>
      <x:c r="J141" s="43" t="str">
        <x:v>nuclear-decay</x:v>
      </x:c>
      <x:c r="K141" s="43" t="str">
        <x:v>pg-nuclear-particle</x:v>
      </x:c>
      <x:c r="L141" s="43" t="str">
        <x:v>pg-advanced</x:v>
      </x:c>
      <x:c r="M141" s="42" t="n">
        <x:v>91</x:v>
      </x:c>
      <x:c r="N141" s="43" t="str">
        <x:v>Misconception repair</x:v>
      </x:c>
      <x:c r="O141" s="43" t="str">
        <x:v>Explore decay, scattering, detectors, and conservation laws.</x:v>
      </x:c>
    </x:row>
    <x:row r="142">
      <x:c r="A142" s="42" t="n">
        <x:v>69</x:v>
      </x:c>
      <x:c r="B142" s="43" t="str">
        <x:v>Thermodynamics</x:v>
      </x:c>
      <x:c r="C142" s="43" t="str">
        <x:v>Advanced Physics</x:v>
      </x:c>
      <x:c r="D142" s="43" t="str">
        <x:v>Statistical Mechanics</x:v>
      </x:c>
      <x:c r="E142" s="43" t="str">
        <x:v>Statistical Ensemble Lab</x:v>
      </x:c>
      <x:c r="F142" s="43" t="str">
        <x:v>Postgraduate</x:v>
      </x:c>
      <x:c r="G142" s="43" t="n">
        <x:v>14</x:v>
      </x:c>
      <x:c r="H142" s="43" t="str">
        <x:v>experiment</x:v>
      </x:c>
      <x:c r="I142" s="43" t="str">
        <x:v>Advanced</x:v>
      </x:c>
      <x:c r="J142" s="43" t="str">
        <x:v>statistical-ensemble-lab</x:v>
      </x:c>
      <x:c r="K142" s="43" t="str">
        <x:v>pg-statistical-field</x:v>
      </x:c>
      <x:c r="L142" s="43" t="str">
        <x:v>pg-advanced</x:v>
      </x:c>
      <x:c r="M142" s="42" t="n">
        <x:v>85</x:v>
      </x:c>
      <x:c r="N142" s="43" t="str">
        <x:v>Misconception repair</x:v>
      </x:c>
      <x:c r="O142" s="43" t="str">
        <x:v>Compare ensembles, phase transitions, and transport.</x:v>
      </x:c>
    </x:row>
    <x:row r="143">
      <x:c r="A143" s="42" t="n">
        <x:v>51</x:v>
      </x:c>
      <x:c r="B143" s="43" t="str">
        <x:v>Modern Physics</x:v>
      </x:c>
      <x:c r="C143" s="43" t="str">
        <x:v>Research Lanes</x:v>
      </x:c>
      <x:c r="D143" s="43" t="str">
        <x:v>High Energy and Cosmology</x:v>
      </x:c>
      <x:c r="E143" s="43" t="str">
        <x:v>Nuclear Decay and Half-Life</x:v>
      </x:c>
      <x:c r="F143" s="43" t="str">
        <x:v>PhD</x:v>
      </x:c>
      <x:c r="G143" s="43" t="n">
        <x:v>15</x:v>
      </x:c>
      <x:c r="H143" s="43" t="str">
        <x:v>experiment</x:v>
      </x:c>
      <x:c r="I143" s="43" t="str">
        <x:v>Intermediate</x:v>
      </x:c>
      <x:c r="J143" s="43" t="str">
        <x:v>nuclear-decay</x:v>
      </x:c>
      <x:c r="K143" s="43" t="str">
        <x:v>phd-high-energy</x:v>
      </x:c>
      <x:c r="L143" s="43" t="str">
        <x:v>phd-research-lanes</x:v>
      </x:c>
      <x:c r="M143" s="42" t="n">
        <x:v>91</x:v>
      </x:c>
      <x:c r="N143" s="43" t="str">
        <x:v>Misconception repair</x:v>
      </x:c>
      <x:c r="O143" s="43" t="str">
        <x:v>Track symmetry, detectors, spacetime, and early-universe models.</x:v>
      </x:c>
    </x:row>
    <x:row r="144">
      <x:c r="A144" s="42" t="n">
        <x:v>1</x:v>
      </x:c>
      <x:c r="B144" s="43" t="str">
        <x:v>Astronomy</x:v>
      </x:c>
      <x:c r="C144" s="43" t="str">
        <x:v>Research Lanes</x:v>
      </x:c>
      <x:c r="D144" s="43" t="str">
        <x:v>High Energy and Cosmology</x:v>
      </x:c>
      <x:c r="E144" s="43" t="str">
        <x:v>Satellite Orbit and Escape Speed</x:v>
      </x:c>
      <x:c r="F144" s="43" t="str">
        <x:v>PhD</x:v>
      </x:c>
      <x:c r="G144" s="43" t="n">
        <x:v>15</x:v>
      </x:c>
      <x:c r="H144" s="43" t="str">
        <x:v>experiment</x:v>
      </x:c>
      <x:c r="I144" s="43" t="str">
        <x:v>Intermediate</x:v>
      </x:c>
      <x:c r="J144" s="43" t="str">
        <x:v>satellite-orbit</x:v>
      </x:c>
      <x:c r="K144" s="43" t="str">
        <x:v>phd-high-energy</x:v>
      </x:c>
      <x:c r="L144" s="43" t="str">
        <x:v>phd-research-lanes</x:v>
      </x:c>
      <x:c r="M144" s="42" t="n">
        <x:v>86</x:v>
      </x:c>
      <x:c r="N144" s="43" t="str">
        <x:v>Misconception repair</x:v>
      </x:c>
      <x:c r="O144" s="43" t="str">
        <x:v>Track symmetry, detectors, spacetime, and early-universe models.</x:v>
      </x:c>
    </x:row>
    <x:row r="145">
      <x:c r="A145" s="42" t="n">
        <x:v>19</x:v>
      </x:c>
      <x:c r="B145" s="43" t="str">
        <x:v>Electronics</x:v>
      </x:c>
      <x:c r="C145" s="43" t="str">
        <x:v>Research Lanes</x:v>
      </x:c>
      <x:c r="D145" s="43" t="str">
        <x:v>Materials and Devices</x:v>
      </x:c>
      <x:c r="E145" s="43" t="str">
        <x:v>Semiconductor Diode and Rectifier</x:v>
      </x:c>
      <x:c r="F145" s="43" t="str">
        <x:v>PhD</x:v>
      </x:c>
      <x:c r="G145" s="43" t="n">
        <x:v>15</x:v>
      </x:c>
      <x:c r="H145" s="43" t="str">
        <x:v>experiment</x:v>
      </x:c>
      <x:c r="I145" s="43" t="str">
        <x:v>Intermediate</x:v>
      </x:c>
      <x:c r="J145" s="43" t="str">
        <x:v>semiconductor-diode</x:v>
      </x:c>
      <x:c r="K145" s="43" t="str">
        <x:v>phd-materials-devices</x:v>
      </x:c>
      <x:c r="L145" s="43" t="str">
        <x:v>phd-research-lanes</x:v>
      </x:c>
      <x:c r="M145" s="42" t="n">
        <x:v>86</x:v>
      </x:c>
      <x:c r="N145" s="43" t="str">
        <x:v>Misconception repair</x:v>
      </x:c>
      <x:c r="O145" s="43" t="str">
        <x:v>Connect nanoscale structure to transport and device behavior.</x:v>
      </x:c>
    </x:row>
    <x:row r="146">
      <x:c r="A146" s="42" t="n">
        <x:v>29</x:v>
      </x:c>
      <x:c r="B146" s="43" t="str">
        <x:v>Measurement</x:v>
      </x:c>
      <x:c r="C146" s="43" t="str">
        <x:v>Research Lanes</x:v>
      </x:c>
      <x:c r="D146" s="43" t="str">
        <x:v>Computational Physics</x:v>
      </x:c>
      <x:c r="E146" s="43" t="str">
        <x:v>Computational Physics Workflow</x:v>
      </x:c>
      <x:c r="F146" s="43" t="str">
        <x:v>PhD</x:v>
      </x:c>
      <x:c r="G146" s="43" t="n">
        <x:v>15</x:v>
      </x:c>
      <x:c r="H146" s="43" t="str">
        <x:v>experiment</x:v>
      </x:c>
      <x:c r="I146" s="43" t="str">
        <x:v>Advanced</x:v>
      </x:c>
      <x:c r="J146" s="43" t="str">
        <x:v>computational-physics-workflow</x:v>
      </x:c>
      <x:c r="K146" s="43" t="str">
        <x:v>phd-computation</x:v>
      </x:c>
      <x:c r="L146" s="43" t="str">
        <x:v>phd-research-lanes</x:v>
      </x:c>
      <x:c r="M146" s="42" t="n">
        <x:v>85</x:v>
      </x:c>
      <x:c r="N146" s="43" t="str">
        <x:v>Misconception repair</x:v>
      </x:c>
      <x:c r="O146" s="43" t="str">
        <x:v>Run numerical models, uncertainty checks, and reproducible workflows.</x:v>
      </x:c>
    </x:row>
    <x:row r="147">
      <x:c r="A147" s="42" t="n">
        <x:v>66</x:v>
      </x:c>
      <x:c r="B147" s="43" t="str">
        <x:v>Thermodynamics</x:v>
      </x:c>
      <x:c r="C147" s="43" t="str">
        <x:v>Research Lanes</x:v>
      </x:c>
      <x:c r="D147" s="43" t="str">
        <x:v>Biophysics and Complex Systems</x:v>
      </x:c>
      <x:c r="E147" s="43" t="str">
        <x:v>Gas Laws and Kinetic Theory</x:v>
      </x:c>
      <x:c r="F147" s="43" t="str">
        <x:v>PhD</x:v>
      </x:c>
      <x:c r="G147" s="43" t="n">
        <x:v>15</x:v>
      </x:c>
      <x:c r="H147" s="43" t="str">
        <x:v>experiment</x:v>
      </x:c>
      <x:c r="I147" s="43" t="str">
        <x:v>Intermediate</x:v>
      </x:c>
      <x:c r="J147" s="43" t="str">
        <x:v>gas-laws</x:v>
      </x:c>
      <x:c r="K147" s="43" t="str">
        <x:v>phd-biophysics-complexity</x:v>
      </x:c>
      <x:c r="L147" s="43" t="str">
        <x:v>phd-research-lanes</x:v>
      </x:c>
      <x:c r="M147" s="42" t="n">
        <x:v>95</x:v>
      </x:c>
      <x:c r="N147" s="43" t="str">
        <x:v>Misconception repair</x:v>
      </x:c>
      <x:c r="O147" s="43" t="str">
        <x:v>Use physics tools on nonlinear, living, and networked systems.</x:v>
      </x:c>
    </x:row>
    <x:row r="148">
      <x:c r="A148" s="42" t="n">
        <x:v>44</x:v>
      </x:c>
      <x:c r="B148" s="43" t="str">
        <x:v>Mechanics</x:v>
      </x:c>
      <x:c r="C148" s="43" t="str">
        <x:v>Research Lanes</x:v>
      </x:c>
      <x:c r="D148" s="43" t="str">
        <x:v>Biophysics and Complex Systems</x:v>
      </x:c>
      <x:c r="E148" s="43" t="str">
        <x:v>Simple Pendulum</x:v>
      </x:c>
      <x:c r="F148" s="43" t="str">
        <x:v>PhD</x:v>
      </x:c>
      <x:c r="G148" s="43" t="n">
        <x:v>15</x:v>
      </x:c>
      <x:c r="H148" s="43" t="str">
        <x:v>experiment</x:v>
      </x:c>
      <x:c r="I148" s="43" t="str">
        <x:v>Intermediate</x:v>
      </x:c>
      <x:c r="J148" s="43" t="str">
        <x:v>simple-pendulum</x:v>
      </x:c>
      <x:c r="K148" s="43" t="str">
        <x:v>phd-biophysics-complexity</x:v>
      </x:c>
      <x:c r="L148" s="43" t="str">
        <x:v>phd-research-lanes</x:v>
      </x:c>
      <x:c r="M148" s="42" t="n">
        <x:v>90</x:v>
      </x:c>
      <x:c r="N148" s="43" t="str">
        <x:v>Misconception repair</x:v>
      </x:c>
      <x:c r="O148" s="43" t="str">
        <x:v>Use physics tools on nonlinear, living, and networked systems.</x:v>
      </x:c>
    </x:row>
    <x:row r="149">
      <x:c r="A149" s="42" t="n">
        <x:v>49</x:v>
      </x:c>
      <x:c r="B149" s="43" t="str">
        <x:v>Modern Physics</x:v>
      </x:c>
      <x:c r="C149" s="43" t="str">
        <x:v>Research Lanes</x:v>
      </x:c>
      <x:c r="D149" s="43" t="str">
        <x:v>Quantum Information</x:v>
      </x:c>
      <x:c r="E149" s="43" t="str">
        <x:v>Bohr Atom Transitions</x:v>
      </x:c>
      <x:c r="F149" s="43" t="str">
        <x:v>PhD</x:v>
      </x:c>
      <x:c r="G149" s="43" t="n">
        <x:v>15</x:v>
      </x:c>
      <x:c r="H149" s="43" t="str">
        <x:v>experiment</x:v>
      </x:c>
      <x:c r="I149" s="43" t="str">
        <x:v>Intermediate</x:v>
      </x:c>
      <x:c r="J149" s="43" t="str">
        <x:v>bohr-model</x:v>
      </x:c>
      <x:c r="K149" s="43" t="str">
        <x:v>phd-quantum-info</x:v>
      </x:c>
      <x:c r="L149" s="43" t="str">
        <x:v>phd-research-lanes</x:v>
      </x:c>
      <x:c r="M149" s="42" t="n">
        <x:v>86</x:v>
      </x:c>
      <x:c r="N149" s="43" t="str">
        <x:v>Misconception repair</x:v>
      </x:c>
      <x:c r="O149" s="43" t="str">
        <x:v>Explore qubits, gates, entanglement, and measurement.</x:v>
      </x:c>
    </x:row>
    <x:row r="150">
      <x:c r="A150" s="42" t="n">
        <x:v>18</x:v>
      </x:c>
      <x:c r="B150" s="43" t="str">
        <x:v>Electronics</x:v>
      </x:c>
      <x:c r="C150" s="43" t="str">
        <x:v>Research Lanes</x:v>
      </x:c>
      <x:c r="D150" s="43" t="str">
        <x:v>Quantum Information</x:v>
      </x:c>
      <x:c r="E150" s="43" t="str">
        <x:v>Logic Gates</x:v>
      </x:c>
      <x:c r="F150" s="43" t="str">
        <x:v>PhD</x:v>
      </x:c>
      <x:c r="G150" s="43" t="n">
        <x:v>15</x:v>
      </x:c>
      <x:c r="H150" s="43" t="str">
        <x:v>experiment</x:v>
      </x:c>
      <x:c r="I150" s="43" t="str">
        <x:v>Beginner</x:v>
      </x:c>
      <x:c r="J150" s="43" t="str">
        <x:v>logic-gates</x:v>
      </x:c>
      <x:c r="K150" s="43" t="str">
        <x:v>phd-quantum-info</x:v>
      </x:c>
      <x:c r="L150" s="43" t="str">
        <x:v>phd-research-lanes</x:v>
      </x:c>
      <x:c r="M150" s="42" t="n">
        <x:v>86</x:v>
      </x:c>
      <x:c r="N150" s="43" t="str">
        <x:v>Misconception repair</x:v>
      </x:c>
      <x:c r="O150" s="43" t="str">
        <x:v>Explore qubits, gates, entanglement, and measurement.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578278c4ea604c17"/>
  </x:tableParts>
</x:worksheet>
</file>