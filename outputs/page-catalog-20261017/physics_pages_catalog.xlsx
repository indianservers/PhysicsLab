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2ac45ac23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Pages" sheetId="1" r:id="R5337ca1c863d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2554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u val="single"/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74bd0e4f148ea" /><Relationship Type="http://schemas.openxmlformats.org/officeDocument/2006/relationships/theme" Target="/xl/theme/theme1.xml" Id="R0130664dcb7a4b10" /><Relationship Type="http://schemas.openxmlformats.org/officeDocument/2006/relationships/sharedStrings" Target="/xl/sharedStrings.xml" Id="R81bed709179f4334" /><Relationship Type="http://schemas.openxmlformats.org/officeDocument/2006/relationships/worksheet" Target="/xl/worksheets/sheet1.xml" Id="R5337ca1c863d4ab6" /></Relationships>
</file>

<file path=xl/tables/table1.xml><?xml version="1.0" encoding="utf-8"?>
<x:table xmlns:x="http://schemas.openxmlformats.org/spreadsheetml/2006/main" id="1" name="PageCatalog" displayName="PageCatalog" ref="A6:I595" headerRowCount="1" totalsRowCount="0" totalsRowShown="0">
  <x:tableColumns count="9">
    <x:tableColumn id="1" name="No."/>
    <x:tableColumn id="2" name="Page / View"/>
    <x:tableColumn id="3" name="Topic / Category"/>
    <x:tableColumn id="4" name="Page Type"/>
    <x:tableColumn id="5" name="Description"/>
    <x:tableColumn id="6" name="Deployed Link"/>
    <x:tableColumn id="7" name="Route / View"/>
    <x:tableColumn id="8" name="Local Source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a5f6ab29414e16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2" ySplit="6" topLeftCell="C7" activePane="bottomRight" state="frozen"/>
    </ns0:sheetView>
  </ns0:sheetViews>
  <ns0:sheetFormatPr defaultRowHeight="15"/>
  <ns0:cols>
    <ns0:col min="1" max="1" width="7" hidden="0" customWidth="1"/>
    <ns0:col min="2" max="2" width="34" hidden="0" customWidth="1"/>
    <ns0:col min="3" max="3" width="30" hidden="0" customWidth="1"/>
    <ns0:col min="4" max="4" width="22" hidden="0" customWidth="1"/>
    <ns0:col min="5" max="5" width="88" hidden="0" customWidth="1"/>
    <ns0:col min="6" max="6" width="70" hidden="0" customWidth="1"/>
    <ns0:col min="7" max="7" width="48" hidden="0" customWidth="1"/>
    <ns0:col min="8" max="8" width="45" hidden="0" customWidth="1"/>
    <ns0:col min="9" max="9" width="35" hidden="0" customWidth="1"/>
  </ns0:cols>
  <ns0:sheetData>
    <ns0:row r="2">
      <ns0:c r="A2" s="1" t="str">
        <ns0:v>Physics Simulator — page catalog</ns0:v>
      </ns0:c>
    </ns0:row>
    <ns0:row r="3">
      <ns0:c r="A3" t="str">
        <ns0:v>589 URLs and linked views. Local source reviewed 17 Oct 2026. Deployment availability not checked.</ns0:v>
      </ns0:c>
    </ns0:row>
    <ns0:row r="4">
      <ns0:c r="A4" t="str">
        <ns0:v>Base URL: https://physics.aimersociety.com/ — filter by topic or page type to assign reviews.</ns0:v>
      </ns0:c>
    </ns0:row>
    <ns0:row r="6" ht="30" customHeight="1">
      <ns0:c r="A6" s="6" t="str">
        <ns0:v>No.</ns0:v>
      </ns0:c>
      <ns0:c r="B6" s="6" t="str">
        <ns0:v>Page / View</ns0:v>
      </ns0:c>
      <ns0:c r="C6" s="6" t="str">
        <ns0:v>Topic / Category</ns0:v>
      </ns0:c>
      <ns0:c r="D6" s="6" t="str">
        <ns0:v>Page Type</ns0:v>
      </ns0:c>
      <ns0:c r="E6" s="6" t="str">
        <ns0:v>Description</ns0:v>
      </ns0:c>
      <ns0:c r="F6" s="6" t="str">
        <ns0:v>Deployed Link</ns0:v>
      </ns0:c>
      <ns0:c r="G6" s="6" t="str">
        <ns0:v>Route / View</ns0:v>
      </ns0:c>
      <ns0:c r="H6" s="6" t="str">
        <ns0:v>Local Source</ns0:v>
      </ns0:c>
      <ns0:c r="I6" s="6" t="str">
        <ns0:v>Notes</ns0:v>
      </ns0:c>
    </ns0:row>
    <ns0:row r="7" ht="82" customHeight="1">
      <ns0:c r="A7" s="8" t="n">
        <ns0:v>1</ns0:v>
      </ns0:c>
      <ns0:c r="B7" s="8" t="str">
        <ns0:v>Knowledge Graph</ns0:v>
      </ns0:c>
      <ns0:c r="C7" s="8" t="str">
        <ns0:v>Education Platform</ns0:v>
      </ns0:c>
      <ns0:c r="D7" s="8" t="str">
        <ns0:v>Client Demos</ns0:v>
      </ns0:c>
      <ns0:c r="E7" s="8" t="str">
        <ns0:v>A connected map shows how concepts, experiments, formulas, and curriculum outcomes reinforce one another.</ns0:v>
      </ns0:c>
      <ns0:c r="F7" s="9" t="str">
        <ns0:f>HYPERLINK("https://physics.aimersociety.com/graph","https://physics.aimersociety.com/graph")</ns0:f>
        <ns0:v>https://physics.aimersociety.com/graph</ns0:v>
      </ns0:c>
      <ns0:c r="G7" s="8" t="str">
        <ns0:v>/graph</ns0:v>
      </ns0:c>
      <ns0:c r="H7" s="8" t="str">
        <ns0:v>src/lib/appDirectory.ts</ns0:v>
      </ns0:c>
      <ns0:c r="I7" s="8" t="str"/>
    </ns0:row>
    <ns0:row r="8" ht="82" customHeight="1">
      <ns0:c r="A8" s="8" t="n">
        <ns0:v>2</ns0:v>
      </ns0:c>
      <ns0:c r="B8" s="8" t="str">
        <ns0:v>Teacher Insights &amp; Deployment</ns0:v>
      </ns0:c>
      <ns0:c r="C8" s="8" t="str">
        <ns0:v>Education Platform</ns0:v>
      </ns0:c>
      <ns0:c r="D8" s="8" t="str">
        <ns0:v>Client Demos</ns0:v>
      </ns0:c>
      <ns0:c r="E8" s="8" t="str">
        <ns0:v>Close the presentation with assignments, readiness analytics, intervention signals, accessibility, and release-quality evidence.</ns0:v>
      </ns0:c>
      <ns0:c r="F8" s="9" t="str">
        <ns0:f>HYPERLINK("https://physics.aimersociety.com/insights-center","https://physics.aimersociety.com/insights-center")</ns0:f>
        <ns0:v>https://physics.aimersociety.com/insights-center</ns0:v>
      </ns0:c>
      <ns0:c r="G8" s="8" t="str">
        <ns0:v>/insights-center</ns0:v>
      </ns0:c>
      <ns0:c r="H8" s="8" t="str">
        <ns0:v>src/lib/appDirectory.ts</ns0:v>
      </ns0:c>
      <ns0:c r="I8" s="8" t="str"/>
    </ns0:row>
    <ns0:row r="9" ht="82" customHeight="1">
      <ns0:c r="A9" s="8" t="n">
        <ns0:v>3</ns0:v>
      </ns0:c>
      <ns0:c r="B9" s="8" t="str">
        <ns0:v>Live Astronomy and Astrophysics</ns0:v>
      </ns0:c>
      <ns0:c r="C9" s="8" t="str">
        <ns0:v>Interactive Concept Studio</ns0:v>
      </ns0:c>
      <ns0:c r="D9" s="8" t="str">
        <ns0:v>Concepts</ns0:v>
      </ns0:c>
      <ns0:c r="E9" s="8" t="str">
        <ns0:v>Use light, gravity, motion, and nuclear physics to investigate planets, stars, galaxies, and the evolving universe.</ns0:v>
      </ns0:c>
      <ns0:c r="F9" s="9" t="str">
        <ns0:f>HYPERLINK("https://physics.aimersociety.com/concept-studio/astronomy-astrophysics","https://physics.aimersociety.com/concept-studio/astronomy-astrophysics")</ns0:f>
        <ns0:v>https://physics.aimersociety.com/concept-studio/astronomy-astrophysics</ns0:v>
      </ns0:c>
      <ns0:c r="G9" s="8" t="str">
        <ns0:v>/concept-studio/astronomy-astrophysics</ns0:v>
      </ns0:c>
      <ns0:c r="H9" s="8" t="str">
        <ns0:v>src/lib/appDirectory.ts</ns0:v>
      </ns0:c>
      <ns0:c r="I9" s="8" t="str"/>
    </ns0:row>
    <ns0:row r="10" ht="82" customHeight="1">
      <ns0:c r="A10" s="8" t="n">
        <ns0:v>4</ns0:v>
      </ns0:c>
      <ns0:c r="B10" s="8" t="str">
        <ns0:v>Live Electricity</ns0:v>
      </ns0:c>
      <ns0:c r="C10" s="8" t="str">
        <ns0:v>Interactive Concept Studio</ns0:v>
      </ns0:c>
      <ns0:c r="D10" s="8" t="str">
        <ns0:v>Concepts</ns0:v>
      </ns0:c>
      <ns0:c r="E10" s="8" t="str">
        <ns0:v>Connect charge, electric fields, potential difference, current, resistance, and power in working circuits.</ns0:v>
      </ns0:c>
      <ns0:c r="F10" s="9" t="str">
        <ns0:f>HYPERLINK("https://physics.aimersociety.com/concept-studio/electricity","https://physics.aimersociety.com/concept-studio/electricity")</ns0:f>
        <ns0:v>https://physics.aimersociety.com/concept-studio/electricity</ns0:v>
      </ns0:c>
      <ns0:c r="G10" s="8" t="str">
        <ns0:v>/concept-studio/electricity</ns0:v>
      </ns0:c>
      <ns0:c r="H10" s="8" t="str">
        <ns0:v>src/lib/appDirectory.ts</ns0:v>
      </ns0:c>
      <ns0:c r="I10" s="8" t="str"/>
    </ns0:row>
    <ns0:row r="11" ht="82" customHeight="1">
      <ns0:c r="A11" s="8" t="n">
        <ns0:v>5</ns0:v>
      </ns0:c>
      <ns0:c r="B11" s="8" t="str">
        <ns0:v>Live Electronics</ns0:v>
      </ns0:c>
      <ns0:c r="C11" s="8" t="str">
        <ns0:v>Interactive Concept Studio</ns0:v>
      </ns0:c>
      <ns0:c r="D11" s="8" t="str">
        <ns0:v>Concepts</ns0:v>
      </ns0:c>
      <ns0:c r="E11" s="8" t="str">
        <ns0:v>Use semiconductor devices to switch, amplify, sense, compute, and communicate with electrical signals.</ns0:v>
      </ns0:c>
      <ns0:c r="F11" s="9" t="str">
        <ns0:f>HYPERLINK("https://physics.aimersociety.com/concept-studio/electronics","https://physics.aimersociety.com/concept-studio/electronics")</ns0:f>
        <ns0:v>https://physics.aimersociety.com/concept-studio/electronics</ns0:v>
      </ns0:c>
      <ns0:c r="G11" s="8" t="str">
        <ns0:v>/concept-studio/electronics</ns0:v>
      </ns0:c>
      <ns0:c r="H11" s="8" t="str">
        <ns0:v>src/lib/appDirectory.ts</ns0:v>
      </ns0:c>
      <ns0:c r="I11" s="8" t="str"/>
    </ns0:row>
    <ns0:row r="12" ht="82" customHeight="1">
      <ns0:c r="A12" s="8" t="n">
        <ns0:v>6</ns0:v>
      </ns0:c>
      <ns0:c r="B12" s="8" t="str">
        <ns0:v>Live Fluid Mechanics</ns0:v>
      </ns0:c>
      <ns0:c r="C12" s="8" t="str">
        <ns0:v>Interactive Concept Studio</ns0:v>
      </ns0:c>
      <ns0:c r="D12" s="8" t="str">
        <ns0:v>Concepts</ns0:v>
      </ns0:c>
      <ns0:c r="E12" s="8" t="str">
        <ns0:v>Explore pressure, buoyancy, continuity, viscosity, and energy in liquids and gases.</ns0:v>
      </ns0:c>
      <ns0:c r="F12" s="9" t="str">
        <ns0:f>HYPERLINK("https://physics.aimersociety.com/concept-studio/fluid-mechanics","https://physics.aimersociety.com/concept-studio/fluid-mechanics")</ns0:f>
        <ns0:v>https://physics.aimersociety.com/concept-studio/fluid-mechanics</ns0:v>
      </ns0:c>
      <ns0:c r="G12" s="8" t="str">
        <ns0:v>/concept-studio/fluid-mechanics</ns0:v>
      </ns0:c>
      <ns0:c r="H12" s="8" t="str">
        <ns0:v>src/lib/appDirectory.ts</ns0:v>
      </ns0:c>
      <ns0:c r="I12" s="8" t="str"/>
    </ns0:row>
    <ns0:row r="13" ht="82" customHeight="1">
      <ns0:c r="A13" s="8" t="n">
        <ns0:v>7</ns0:v>
      </ns0:c>
      <ns0:c r="B13" s="8" t="str">
        <ns0:v>Live Force and Newton’s Laws</ns0:v>
      </ns0:c>
      <ns0:c r="C13" s="8" t="str">
        <ns0:v>Interactive Concept Studio</ns0:v>
      </ns0:c>
      <ns0:c r="D13" s="8" t="str">
        <ns0:v>Concepts</ns0:v>
      </ns0:c>
      <ns0:c r="E13" s="8" t="str">
        <ns0:v>Connect interactions to changes in motion using inertia, net force, and action–reaction pairs.</ns0:v>
      </ns0:c>
      <ns0:c r="F13" s="9" t="str">
        <ns0:f>HYPERLINK("https://physics.aimersociety.com/concept-studio/force-newton","https://physics.aimersociety.com/concept-studio/force-newton")</ns0:f>
        <ns0:v>https://physics.aimersociety.com/concept-studio/force-newton</ns0:v>
      </ns0:c>
      <ns0:c r="G13" s="8" t="str">
        <ns0:v>/concept-studio/force-newton</ns0:v>
      </ns0:c>
      <ns0:c r="H13" s="8" t="str">
        <ns0:v>src/lib/appDirectory.ts</ns0:v>
      </ns0:c>
      <ns0:c r="I13" s="8" t="str"/>
    </ns0:row>
    <ns0:row r="14" ht="82" customHeight="1">
      <ns0:c r="A14" s="8" t="n">
        <ns0:v>8</ns0:v>
      </ns0:c>
      <ns0:c r="B14" s="8" t="str">
        <ns0:v>Live Gravitation</ns0:v>
      </ns0:c>
      <ns0:c r="C14" s="8" t="str">
        <ns0:v>Interactive Concept Studio</ns0:v>
      </ns0:c>
      <ns0:c r="D14" s="8" t="str">
        <ns0:v>Concepts</ns0:v>
      </ns0:c>
      <ns0:c r="E14" s="8" t="str">
        <ns0:v>Explore universal attraction, free fall, orbital motion, and the geometry of gravitational fields.</ns0:v>
      </ns0:c>
      <ns0:c r="F14" s="9" t="str">
        <ns0:f>HYPERLINK("https://physics.aimersociety.com/concept-studio/gravitation","https://physics.aimersociety.com/concept-studio/gravitation")</ns0:f>
        <ns0:v>https://physics.aimersociety.com/concept-studio/gravitation</ns0:v>
      </ns0:c>
      <ns0:c r="G14" s="8" t="str">
        <ns0:v>/concept-studio/gravitation</ns0:v>
      </ns0:c>
      <ns0:c r="H14" s="8" t="str">
        <ns0:v>src/lib/appDirectory.ts</ns0:v>
      </ns0:c>
      <ns0:c r="I14" s="8" t="str"/>
    </ns0:row>
    <ns0:row r="15" ht="82" customHeight="1">
      <ns0:c r="A15" s="8" t="n">
        <ns0:v>9</ns0:v>
      </ns0:c>
      <ns0:c r="B15" s="8" t="str">
        <ns0:v>Live Magnetism</ns0:v>
      </ns0:c>
      <ns0:c r="C15" s="8" t="str">
        <ns0:v>Interactive Concept Studio</ns0:v>
      </ns0:c>
      <ns0:c r="D15" s="8" t="str">
        <ns0:v>Concepts</ns0:v>
      </ns0:c>
      <ns0:c r="E15" s="8" t="str">
        <ns0:v>Visualize magnetic fields from currents and magnets, forces on moving charge, and electromagnetic induction.</ns0:v>
      </ns0:c>
      <ns0:c r="F15" s="9" t="str">
        <ns0:f>HYPERLINK("https://physics.aimersociety.com/concept-studio/magnetism","https://physics.aimersociety.com/concept-studio/magnetism")</ns0:f>
        <ns0:v>https://physics.aimersociety.com/concept-studio/magnetism</ns0:v>
      </ns0:c>
      <ns0:c r="G15" s="8" t="str">
        <ns0:v>/concept-studio/magnetism</ns0:v>
      </ns0:c>
      <ns0:c r="H15" s="8" t="str">
        <ns0:v>src/lib/appDirectory.ts</ns0:v>
      </ns0:c>
      <ns0:c r="I15" s="8" t="str"/>
    </ns0:row>
    <ns0:row r="16" ht="82" customHeight="1">
      <ns0:c r="A16" s="8" t="n">
        <ns0:v>10</ns0:v>
      </ns0:c>
      <ns0:c r="B16" s="8" t="str">
        <ns0:v>Live Measurement</ns0:v>
      </ns0:c>
      <ns0:c r="C16" s="8" t="str">
        <ns0:v>Interactive Concept Studio</ns0:v>
      </ns0:c>
      <ns0:c r="D16" s="8" t="str">
        <ns0:v>Concepts</ns0:v>
      </ns0:c>
      <ns0:c r="E16" s="8" t="str">
        <ns0:v>Turn a physical quantity into a defensible number using a calibrated instrument, unit, resolution, and uncertainty.</ns0:v>
      </ns0:c>
      <ns0:c r="F16" s="9" t="str">
        <ns0:f>HYPERLINK("https://physics.aimersociety.com/concept-studio/measurement","https://physics.aimersociety.com/concept-studio/measurement")</ns0:f>
        <ns0:v>https://physics.aimersociety.com/concept-studio/measurement</ns0:v>
      </ns0:c>
      <ns0:c r="G16" s="8" t="str">
        <ns0:v>/concept-studio/measurement</ns0:v>
      </ns0:c>
      <ns0:c r="H16" s="8" t="str">
        <ns0:v>src/lib/appDirectory.ts</ns0:v>
      </ns0:c>
      <ns0:c r="I16" s="8" t="str"/>
    </ns0:row>
    <ns0:row r="17" ht="82" customHeight="1">
      <ns0:c r="A17" s="8" t="n">
        <ns0:v>11</ns0:v>
      </ns0:c>
      <ns0:c r="B17" s="8" t="str">
        <ns0:v>Live Mechanics</ns0:v>
      </ns0:c>
      <ns0:c r="C17" s="8" t="str">
        <ns0:v>Interactive Concept Studio</ns0:v>
      </ns0:c>
      <ns0:c r="D17" s="8" t="str">
        <ns0:v>Concepts</ns0:v>
      </ns0:c>
      <ns0:c r="E17" s="8" t="str">
        <ns0:v>Study how forces change motion and how energy and momentum move through physical systems.</ns0:v>
      </ns0:c>
      <ns0:c r="F17" s="9" t="str">
        <ns0:f>HYPERLINK("https://physics.aimersociety.com/concept-studio/mechanics","https://physics.aimersociety.com/concept-studio/mechanics")</ns0:f>
        <ns0:v>https://physics.aimersociety.com/concept-studio/mechanics</ns0:v>
      </ns0:c>
      <ns0:c r="G17" s="8" t="str">
        <ns0:v>/concept-studio/mechanics</ns0:v>
      </ns0:c>
      <ns0:c r="H17" s="8" t="str">
        <ns0:v>src/lib/appDirectory.ts</ns0:v>
      </ns0:c>
      <ns0:c r="I17" s="8" t="str"/>
    </ns0:row>
    <ns0:row r="18" ht="82" customHeight="1">
      <ns0:c r="A18" s="8" t="n">
        <ns0:v>12</ns0:v>
      </ns0:c>
      <ns0:c r="B18" s="8" t="str">
        <ns0:v>Live Modern Physics</ns0:v>
      </ns0:c>
      <ns0:c r="C18" s="8" t="str">
        <ns0:v>Interactive Concept Studio</ns0:v>
      </ns0:c>
      <ns0:c r="D18" s="8" t="str">
        <ns0:v>Concepts</ns0:v>
      </ns0:c>
      <ns0:c r="E18" s="8" t="str">
        <ns0:v>Connect quantum behaviour, atomic structure, relativity, nuclear processes, and the limits of classical models.</ns0:v>
      </ns0:c>
      <ns0:c r="F18" s="9" t="str">
        <ns0:f>HYPERLINK("https://physics.aimersociety.com/concept-studio/modern-physics","https://physics.aimersociety.com/concept-studio/modern-physics")</ns0:f>
        <ns0:v>https://physics.aimersociety.com/concept-studio/modern-physics</ns0:v>
      </ns0:c>
      <ns0:c r="G18" s="8" t="str">
        <ns0:v>/concept-studio/modern-physics</ns0:v>
      </ns0:c>
      <ns0:c r="H18" s="8" t="str">
        <ns0:v>src/lib/appDirectory.ts</ns0:v>
      </ns0:c>
      <ns0:c r="I18" s="8" t="str"/>
    </ns0:row>
    <ns0:row r="19" ht="82" customHeight="1">
      <ns0:c r="A19" s="8" t="n">
        <ns0:v>13</ns0:v>
      </ns0:c>
      <ns0:c r="B19" s="8" t="str">
        <ns0:v>Live Motion and Kinematics</ns0:v>
      </ns0:c>
      <ns0:c r="C19" s="8" t="str">
        <ns0:v>Interactive Concept Studio</ns0:v>
      </ns0:c>
      <ns0:c r="D19" s="8" t="str">
        <ns0:v>Concepts</ns0:v>
      </ns0:c>
      <ns0:c r="E19" s="8" t="str">
        <ns0:v>Describe position, velocity, and acceleration without first asking what force caused the motion.</ns0:v>
      </ns0:c>
      <ns0:c r="F19" s="9" t="str">
        <ns0:f>HYPERLINK("https://physics.aimersociety.com/concept-studio/motion-kinematics","https://physics.aimersociety.com/concept-studio/motion-kinematics")</ns0:f>
        <ns0:v>https://physics.aimersociety.com/concept-studio/motion-kinematics</ns0:v>
      </ns0:c>
      <ns0:c r="G19" s="8" t="str">
        <ns0:v>/concept-studio/motion-kinematics</ns0:v>
      </ns0:c>
      <ns0:c r="H19" s="8" t="str">
        <ns0:v>src/lib/appDirectory.ts</ns0:v>
      </ns0:c>
      <ns0:c r="I19" s="8" t="str"/>
    </ns0:row>
    <ns0:row r="20" ht="82" customHeight="1">
      <ns0:c r="A20" s="8" t="n">
        <ns0:v>14</ns0:v>
      </ns0:c>
      <ns0:c r="B20" s="8" t="str">
        <ns0:v>Live Optics</ns0:v>
      </ns0:c>
      <ns0:c r="C20" s="8" t="str">
        <ns0:v>Interactive Concept Studio</ns0:v>
      </ns0:c>
      <ns0:c r="D20" s="8" t="str">
        <ns0:v>Concepts</ns0:v>
      </ns0:c>
      <ns0:c r="E20" s="8" t="str">
        <ns0:v>Trace how light reflects, refracts, diffracts, interferes, and forms images.</ns0:v>
      </ns0:c>
      <ns0:c r="F20" s="9" t="str">
        <ns0:f>HYPERLINK("https://physics.aimersociety.com/concept-studio/optics","https://physics.aimersociety.com/concept-studio/optics")</ns0:f>
        <ns0:v>https://physics.aimersociety.com/concept-studio/optics</ns0:v>
      </ns0:c>
      <ns0:c r="G20" s="8" t="str">
        <ns0:v>/concept-studio/optics</ns0:v>
      </ns0:c>
      <ns0:c r="H20" s="8" t="str">
        <ns0:v>src/lib/appDirectory.ts</ns0:v>
      </ns0:c>
      <ns0:c r="I20" s="8" t="str"/>
    </ns0:row>
    <ns0:row r="21" ht="82" customHeight="1">
      <ns0:c r="A21" s="8" t="n">
        <ns0:v>15</ns0:v>
      </ns0:c>
      <ns0:c r="B21" s="8" t="str">
        <ns0:v>Live Oscillations</ns0:v>
      </ns0:c>
      <ns0:c r="C21" s="8" t="str">
        <ns0:v>Interactive Concept Studio</ns0:v>
      </ns0:c>
      <ns0:c r="D21" s="8" t="str">
        <ns0:v>Concepts</ns0:v>
      </ns0:c>
      <ns0:c r="E21" s="8" t="str">
        <ns0:v>Investigate repeating motion, restoring forces, resonance, damping, amplitude, phase, and frequency.</ns0:v>
      </ns0:c>
      <ns0:c r="F21" s="9" t="str">
        <ns0:f>HYPERLINK("https://physics.aimersociety.com/concept-studio/oscillations","https://physics.aimersociety.com/concept-studio/oscillations")</ns0:f>
        <ns0:v>https://physics.aimersociety.com/concept-studio/oscillations</ns0:v>
      </ns0:c>
      <ns0:c r="G21" s="8" t="str">
        <ns0:v>/concept-studio/oscillations</ns0:v>
      </ns0:c>
      <ns0:c r="H21" s="8" t="str">
        <ns0:v>src/lib/appDirectory.ts</ns0:v>
      </ns0:c>
      <ns0:c r="I21" s="8" t="str"/>
    </ns0:row>
    <ns0:row r="22" ht="82" customHeight="1">
      <ns0:c r="A22" s="8" t="n">
        <ns0:v>16</ns0:v>
      </ns0:c>
      <ns0:c r="B22" s="8" t="str">
        <ns0:v>Live Thermodynamics</ns0:v>
      </ns0:c>
      <ns0:c r="C22" s="8" t="str">
        <ns0:v>Interactive Concept Studio</ns0:v>
      </ns0:c>
      <ns0:c r="D22" s="8" t="str">
        <ns0:v>Concepts</ns0:v>
      </ns0:c>
      <ns0:c r="E22" s="8" t="str">
        <ns0:v>Follow energy transfer as heat and work while particles, temperature, pressure, and entropy change.</ns0:v>
      </ns0:c>
      <ns0:c r="F22" s="9" t="str">
        <ns0:f>HYPERLINK("https://physics.aimersociety.com/concept-studio/thermodynamics","https://physics.aimersociety.com/concept-studio/thermodynamics")</ns0:f>
        <ns0:v>https://physics.aimersociety.com/concept-studio/thermodynamics</ns0:v>
      </ns0:c>
      <ns0:c r="G22" s="8" t="str">
        <ns0:v>/concept-studio/thermodynamics</ns0:v>
      </ns0:c>
      <ns0:c r="H22" s="8" t="str">
        <ns0:v>src/lib/appDirectory.ts</ns0:v>
      </ns0:c>
      <ns0:c r="I22" s="8" t="str"/>
    </ns0:row>
    <ns0:row r="23" ht="82" customHeight="1">
      <ns0:c r="A23" s="8" t="n">
        <ns0:v>17</ns0:v>
      </ns0:c>
      <ns0:c r="B23" s="8" t="str">
        <ns0:v>Live Waves and Sound</ns0:v>
      </ns0:c>
      <ns0:c r="C23" s="8" t="str">
        <ns0:v>Interactive Concept Studio</ns0:v>
      </ns0:c>
      <ns0:c r="D23" s="8" t="str">
        <ns0:v>Concepts</ns0:v>
      </ns0:c>
      <ns0:c r="E23" s="8" t="str">
        <ns0:v>See disturbances carry energy and information through space or matter without transporting the medium overall.</ns0:v>
      </ns0:c>
      <ns0:c r="F23" s="9" t="str">
        <ns0:f>HYPERLINK("https://physics.aimersociety.com/concept-studio/waves-sound","https://physics.aimersociety.com/concept-studio/waves-sound")</ns0:f>
        <ns0:v>https://physics.aimersociety.com/concept-studio/waves-sound</ns0:v>
      </ns0:c>
      <ns0:c r="G23" s="8" t="str">
        <ns0:v>/concept-studio/waves-sound</ns0:v>
      </ns0:c>
      <ns0:c r="H23" s="8" t="str">
        <ns0:v>src/lib/appDirectory.ts</ns0:v>
      </ns0:c>
      <ns0:c r="I23" s="8" t="str"/>
    </ns0:row>
    <ns0:row r="24" ht="82" customHeight="1">
      <ns0:c r="A24" s="8" t="n">
        <ns0:v>18</ns0:v>
      </ns0:c>
      <ns0:c r="B24" s="8" t="str">
        <ns0:v>Live Work, Energy and Power</ns0:v>
      </ns0:c>
      <ns0:c r="C24" s="8" t="str">
        <ns0:v>Interactive Concept Studio</ns0:v>
      </ns0:c>
      <ns0:c r="D24" s="8" t="str">
        <ns0:v>Concepts</ns0:v>
      </ns0:c>
      <ns0:c r="E24" s="8" t="str">
        <ns0:v>Track how forces transfer energy, how energy changes form, and how quickly useful work is done.</ns0:v>
      </ns0:c>
      <ns0:c r="F24" s="9" t="str">
        <ns0:f>HYPERLINK("https://physics.aimersociety.com/concept-studio/work-energy-power","https://physics.aimersociety.com/concept-studio/work-energy-power")</ns0:f>
        <ns0:v>https://physics.aimersociety.com/concept-studio/work-energy-power</ns0:v>
      </ns0:c>
      <ns0:c r="G24" s="8" t="str">
        <ns0:v>/concept-studio/work-energy-power</ns0:v>
      </ns0:c>
      <ns0:c r="H24" s="8" t="str">
        <ns0:v>src/lib/appDirectory.ts</ns0:v>
      </ns0:c>
      <ns0:c r="I24" s="8" t="str"/>
    </ns0:row>
    <ns0:row r="25" ht="82" customHeight="1">
      <ns0:c r="A25" s="8" t="n">
        <ns0:v>19</ns0:v>
      </ns0:c>
      <ns0:c r="B25" s="8" t="str">
        <ns0:v>Universal Gravitation Field Map</ns0:v>
      </ns0:c>
      <ns0:c r="C25" s="8" t="str">
        <ns0:v>Astronomy</ns0:v>
      </ns0:c>
      <ns0:c r="D25" s="8" t="str">
        <ns0:v>Experiments</ns0:v>
      </ns0:c>
      <ns0:c r="E25" s="8" t="str">
        <ns0:v>Visualize how gravitational force changes with mass and distance.</ns0:v>
      </ns0:c>
      <ns0:c r="F25" s="9" t="str">
        <ns0:f>HYPERLINK("https://physics.aimersociety.com/experiments/universal-gravitation","https://physics.aimersociety.com/experiments/universal-gravitation")</ns0:f>
        <ns0:v>https://physics.aimersociety.com/experiments/universal-gravitation</ns0:v>
      </ns0:c>
      <ns0:c r="G25" s="8" t="str">
        <ns0:v>/experiments/universal-gravitation</ns0:v>
      </ns0:c>
      <ns0:c r="H25" s="8" t="str">
        <ns0:v>src/lib/appDirectory.ts</ns0:v>
      </ns0:c>
      <ns0:c r="I25" s="8" t="str"/>
    </ns0:row>
    <ns0:row r="26" ht="82" customHeight="1">
      <ns0:c r="A26" s="8" t="n">
        <ns0:v>20</ns0:v>
      </ns0:c>
      <ns0:c r="B26" s="8" t="str">
        <ns0:v>AC Generator</ns0:v>
      </ns0:c>
      <ns0:c r="C26" s="8" t="str">
        <ns0:v>Electricity</ns0:v>
      </ns0:c>
      <ns0:c r="D26" s="8" t="str">
        <ns0:v>Experiments</ns0:v>
      </ns0:c>
      <ns0:c r="E26" s="8" t="str">
        <ns0:v>Visualize sinusoidal emf generated by rotating a coil in a magnetic field.</ns0:v>
      </ns0:c>
      <ns0:c r="F26" s="9" t="str">
        <ns0:f>HYPERLINK("https://physics.aimersociety.com/experiments/ac-generator","https://physics.aimersociety.com/experiments/ac-generator")</ns0:f>
        <ns0:v>https://physics.aimersociety.com/experiments/ac-generator</ns0:v>
      </ns0:c>
      <ns0:c r="G26" s="8" t="str">
        <ns0:v>/experiments/ac-generator</ns0:v>
      </ns0:c>
      <ns0:c r="H26" s="8" t="str">
        <ns0:v>src/lib/appDirectory.ts</ns0:v>
      </ns0:c>
      <ns0:c r="I26" s="8" t="str"/>
    </ns0:row>
    <ns0:row r="27" ht="82" customHeight="1">
      <ns0:c r="A27" s="8" t="n">
        <ns0:v>21</ns0:v>
      </ns0:c>
      <ns0:c r="B27" s="8" t="str">
        <ns0:v>AC LCR Resonance</ns0:v>
      </ns0:c>
      <ns0:c r="C27" s="8" t="str">
        <ns0:v>Electricity</ns0:v>
      </ns0:c>
      <ns0:c r="D27" s="8" t="str">
        <ns0:v>Experiments</ns0:v>
      </ns0:c>
      <ns0:c r="E27" s="8" t="str">
        <ns0:v>Compare reactance, impedance, current, and resonance in a series LCR circuit.</ns0:v>
      </ns0:c>
      <ns0:c r="F27" s="9" t="str">
        <ns0:f>HYPERLINK("https://physics.aimersociety.com/experiments/ac-lcr-resonance","https://physics.aimersociety.com/experiments/ac-lcr-resonance")</ns0:f>
        <ns0:v>https://physics.aimersociety.com/experiments/ac-lcr-resonance</ns0:v>
      </ns0:c>
      <ns0:c r="G27" s="8" t="str">
        <ns0:v>/experiments/ac-lcr-resonance</ns0:v>
      </ns0:c>
      <ns0:c r="H27" s="8" t="str">
        <ns0:v>src/lib/appDirectory.ts</ns0:v>
      </ns0:c>
      <ns0:c r="I27" s="8" t="str"/>
    </ns0:row>
    <ns0:row r="28" ht="82" customHeight="1">
      <ns0:c r="A28" s="8" t="n">
        <ns0:v>22</ns0:v>
      </ns0:c>
      <ns0:c r="B28" s="8" t="str">
        <ns0:v>Capacitor Energy and Combination</ns0:v>
      </ns0:c>
      <ns0:c r="C28" s="8" t="str">
        <ns0:v>Electricity</ns0:v>
      </ns0:c>
      <ns0:c r="D28" s="8" t="str">
        <ns0:v>Experiments</ns0:v>
      </ns0:c>
      <ns0:c r="E28" s="8" t="str">
        <ns0:v>Calculate charge and stored energy for a capacitor and compare combinations.</ns0:v>
      </ns0:c>
      <ns0:c r="F28" s="9" t="str">
        <ns0:f>HYPERLINK("https://physics.aimersociety.com/experiments/capacitor-lab","https://physics.aimersociety.com/experiments/capacitor-lab")</ns0:f>
        <ns0:v>https://physics.aimersociety.com/experiments/capacitor-lab</ns0:v>
      </ns0:c>
      <ns0:c r="G28" s="8" t="str">
        <ns0:v>/experiments/capacitor-lab</ns0:v>
      </ns0:c>
      <ns0:c r="H28" s="8" t="str">
        <ns0:v>src/lib/appDirectory.ts</ns0:v>
      </ns0:c>
      <ns0:c r="I28" s="8" t="str"/>
    </ns0:row>
    <ns0:row r="29" ht="82" customHeight="1">
      <ns0:c r="A29" s="8" t="n">
        <ns0:v>23</ns0:v>
      </ns0:c>
      <ns0:c r="B29" s="8" t="str">
        <ns0:v>Cell Internal Resistance</ns0:v>
      </ns0:c>
      <ns0:c r="C29" s="8" t="str">
        <ns0:v>Electricity</ns0:v>
      </ns0:c>
      <ns0:c r="D29" s="8" t="str">
        <ns0:v>Experiments</ns0:v>
      </ns0:c>
      <ns0:c r="E29" s="8" t="str">
        <ns0:v>Compare emf, terminal voltage, current, and internal resistance of a cell.</ns0:v>
      </ns0:c>
      <ns0:c r="F29" s="9" t="str">
        <ns0:f>HYPERLINK("https://physics.aimersociety.com/experiments/internal-resistance-cell","https://physics.aimersociety.com/experiments/internal-resistance-cell")</ns0:f>
        <ns0:v>https://physics.aimersociety.com/experiments/internal-resistance-cell</ns0:v>
      </ns0:c>
      <ns0:c r="G29" s="8" t="str">
        <ns0:v>/experiments/internal-resistance-cell</ns0:v>
      </ns0:c>
      <ns0:c r="H29" s="8" t="str">
        <ns0:v>src/lib/appDirectory.ts</ns0:v>
      </ns0:c>
      <ns0:c r="I29" s="8" t="str"/>
    </ns0:row>
    <ns0:row r="30" ht="82" customHeight="1">
      <ns0:c r="A30" s="8" t="n">
        <ns0:v>24</ns0:v>
      </ns0:c>
      <ns0:c r="B30" s="8" t="str">
        <ns0:v>Chemical Effects of Current</ns0:v>
      </ns0:c>
      <ns0:c r="C30" s="8" t="str">
        <ns0:v>Electricity</ns0:v>
      </ns0:c>
      <ns0:c r="D30" s="8" t="str">
        <ns0:v>Experiments</ns0:v>
      </ns0:c>
      <ns0:c r="E30" s="8" t="str">
        <ns0:v>Model electrolysis/electroplating as charge passing through a conducting solution.</ns0:v>
      </ns0:c>
      <ns0:c r="F30" s="9" t="str">
        <ns0:f>HYPERLINK("https://physics.aimersociety.com/experiments/chemical-effects-current","https://physics.aimersociety.com/experiments/chemical-effects-current")</ns0:f>
        <ns0:v>https://physics.aimersociety.com/experiments/chemical-effects-current</ns0:v>
      </ns0:c>
      <ns0:c r="G30" s="8" t="str">
        <ns0:v>/experiments/chemical-effects-current</ns0:v>
      </ns0:c>
      <ns0:c r="H30" s="8" t="str">
        <ns0:v>src/lib/appDirectory.ts</ns0:v>
      </ns0:c>
      <ns0:c r="I30" s="8" t="str"/>
    </ns0:row>
    <ns0:row r="31" ht="82" customHeight="1">
      <ns0:c r="A31" s="8" t="n">
        <ns0:v>25</ns0:v>
      </ns0:c>
      <ns0:c r="B31" s="8" t="str">
        <ns0:v>Electric Power and Energy</ns0:v>
      </ns0:c>
      <ns0:c r="C31" s="8" t="str">
        <ns0:v>Electricity</ns0:v>
      </ns0:c>
      <ns0:c r="D31" s="8" t="str">
        <ns0:v>Experiments</ns0:v>
      </ns0:c>
      <ns0:c r="E31" s="8" t="str">
        <ns0:v>Connect circuit power to electrical energy consumed over time.</ns0:v>
      </ns0:c>
      <ns0:c r="F31" s="9" t="str">
        <ns0:f>HYPERLINK("https://physics.aimersociety.com/experiments/electric-power","https://physics.aimersociety.com/experiments/electric-power")</ns0:f>
        <ns0:v>https://physics.aimersociety.com/experiments/electric-power</ns0:v>
      </ns0:c>
      <ns0:c r="G31" s="8" t="str">
        <ns0:v>/experiments/electric-power</ns0:v>
      </ns0:c>
      <ns0:c r="H31" s="8" t="str">
        <ns0:v>src/lib/appDirectory.ts</ns0:v>
      </ns0:c>
      <ns0:c r="I31" s="8" t="str"/>
    </ns0:row>
    <ns0:row r="32" ht="82" customHeight="1">
      <ns0:c r="A32" s="8" t="n">
        <ns0:v>26</ns0:v>
      </ns0:c>
      <ns0:c r="B32" s="8" t="str">
        <ns0:v>Electrostatic Field and Potential</ns0:v>
      </ns0:c>
      <ns0:c r="C32" s="8" t="str">
        <ns0:v>Electricity</ns0:v>
      </ns0:c>
      <ns0:c r="D32" s="8" t="str">
        <ns0:v>Experiments</ns0:v>
      </ns0:c>
      <ns0:c r="E32" s="8" t="str">
        <ns0:v>Compare electric field and potential around point charges.</ns0:v>
      </ns0:c>
      <ns0:c r="F32" s="9" t="str">
        <ns0:f>HYPERLINK("https://physics.aimersociety.com/experiments/electrostatic-field-potential","https://physics.aimersociety.com/experiments/electrostatic-field-potential")</ns0:f>
        <ns0:v>https://physics.aimersociety.com/experiments/electrostatic-field-potential</ns0:v>
      </ns0:c>
      <ns0:c r="G32" s="8" t="str">
        <ns0:v>/experiments/electrostatic-field-potential</ns0:v>
      </ns0:c>
      <ns0:c r="H32" s="8" t="str">
        <ns0:v>src/lib/appDirectory.ts</ns0:v>
      </ns0:c>
      <ns0:c r="I32" s="8" t="str"/>
    </ns0:row>
    <ns0:row r="33" ht="82" customHeight="1">
      <ns0:c r="A33" s="8" t="n">
        <ns0:v>27</ns0:v>
      </ns0:c>
      <ns0:c r="B33" s="8" t="str">
        <ns0:v>Faraday Induction</ns0:v>
      </ns0:c>
      <ns0:c r="C33" s="8" t="str">
        <ns0:v>Electricity</ns0:v>
      </ns0:c>
      <ns0:c r="D33" s="8" t="str">
        <ns0:v>Experiments</ns0:v>
      </ns0:c>
      <ns0:c r="E33" s="8" t="str">
        <ns0:v>Explore induced emf from changing magnetic flux.</ns0:v>
      </ns0:c>
      <ns0:c r="F33" s="9" t="str">
        <ns0:f>HYPERLINK("https://physics.aimersociety.com/experiments/emi-faraday","https://physics.aimersociety.com/experiments/emi-faraday")</ns0:f>
        <ns0:v>https://physics.aimersociety.com/experiments/emi-faraday</ns0:v>
      </ns0:c>
      <ns0:c r="G33" s="8" t="str">
        <ns0:v>/experiments/emi-faraday</ns0:v>
      </ns0:c>
      <ns0:c r="H33" s="8" t="str">
        <ns0:v>src/lib/appDirectory.ts</ns0:v>
      </ns0:c>
      <ns0:c r="I33" s="8" t="str"/>
    </ns0:row>
    <ns0:row r="34" ht="82" customHeight="1">
      <ns0:c r="A34" s="8" t="n">
        <ns0:v>28</ns0:v>
      </ns0:c>
      <ns0:c r="B34" s="8" t="str">
        <ns0:v>Heating Effect of Current</ns0:v>
      </ns0:c>
      <ns0:c r="C34" s="8" t="str">
        <ns0:v>Electricity</ns0:v>
      </ns0:c>
      <ns0:c r="D34" s="8" t="str">
        <ns0:v>Experiments</ns0:v>
      </ns0:c>
      <ns0:c r="E34" s="8" t="str">
        <ns0:v>Explore how current, resistance, and time affect Joule heating.</ns0:v>
      </ns0:c>
      <ns0:c r="F34" s="9" t="str">
        <ns0:f>HYPERLINK("https://physics.aimersociety.com/experiments/heating-effect-current","https://physics.aimersociety.com/experiments/heating-effect-current")</ns0:f>
        <ns0:v>https://physics.aimersociety.com/experiments/heating-effect-current</ns0:v>
      </ns0:c>
      <ns0:c r="G34" s="8" t="str">
        <ns0:v>/experiments/heating-effect-current</ns0:v>
      </ns0:c>
      <ns0:c r="H34" s="8" t="str">
        <ns0:v>src/lib/appDirectory.ts</ns0:v>
      </ns0:c>
      <ns0:c r="I34" s="8" t="str"/>
    </ns0:row>
    <ns0:row r="35" ht="82" customHeight="1">
      <ns0:c r="A35" s="8" t="n">
        <ns0:v>29</ns0:v>
      </ns0:c>
      <ns0:c r="B35" s="8" t="str">
        <ns0:v>Kirchhoff Circuit Rules</ns0:v>
      </ns0:c>
      <ns0:c r="C35" s="8" t="str">
        <ns0:v>Electricity</ns0:v>
      </ns0:c>
      <ns0:c r="D35" s="8" t="str">
        <ns0:v>Experiments</ns0:v>
      </ns0:c>
      <ns0:c r="E35" s="8" t="str">
        <ns0:v>Use junction and loop rules to analyse a two-resistor network.</ns0:v>
      </ns0:c>
      <ns0:c r="F35" s="9" t="str">
        <ns0:f>HYPERLINK("https://physics.aimersociety.com/experiments/kirchhoff-circuit","https://physics.aimersociety.com/experiments/kirchhoff-circuit")</ns0:f>
        <ns0:v>https://physics.aimersociety.com/experiments/kirchhoff-circuit</ns0:v>
      </ns0:c>
      <ns0:c r="G35" s="8" t="str">
        <ns0:v>/experiments/kirchhoff-circuit</ns0:v>
      </ns0:c>
      <ns0:c r="H35" s="8" t="str">
        <ns0:v>src/lib/appDirectory.ts</ns0:v>
      </ns0:c>
      <ns0:c r="I35" s="8" t="str"/>
    </ns0:row>
    <ns0:row r="36" ht="82" customHeight="1">
      <ns0:c r="A36" s="8" t="n">
        <ns0:v>30</ns0:v>
      </ns0:c>
      <ns0:c r="B36" s="8" t="str">
        <ns0:v>Meter Bridge</ns0:v>
      </ns0:c>
      <ns0:c r="C36" s="8" t="str">
        <ns0:v>Electricity</ns0:v>
      </ns0:c>
      <ns0:c r="D36" s="8" t="str">
        <ns0:v>Experiments</ns0:v>
      </ns0:c>
      <ns0:c r="E36" s="8" t="str">
        <ns0:v>Find an unknown resistance using the balanced Wheatstone bridge relation.</ns0:v>
      </ns0:c>
      <ns0:c r="F36" s="9" t="str">
        <ns0:f>HYPERLINK("https://physics.aimersociety.com/experiments/meter-bridge","https://physics.aimersociety.com/experiments/meter-bridge")</ns0:f>
        <ns0:v>https://physics.aimersociety.com/experiments/meter-bridge</ns0:v>
      </ns0:c>
      <ns0:c r="G36" s="8" t="str">
        <ns0:v>/experiments/meter-bridge</ns0:v>
      </ns0:c>
      <ns0:c r="H36" s="8" t="str">
        <ns0:v>src/lib/appDirectory.ts</ns0:v>
      </ns0:c>
      <ns0:c r="I36" s="8" t="str"/>
    </ns0:row>
    <ns0:row r="37" ht="82" customHeight="1">
      <ns0:c r="A37" s="8" t="n">
        <ns0:v>31</ns0:v>
      </ns0:c>
      <ns0:c r="B37" s="8" t="str">
        <ns0:v>Ohm's Law V-I Graph</ns0:v>
      </ns0:c>
      <ns0:c r="C37" s="8" t="str">
        <ns0:v>Electricity</ns0:v>
      </ns0:c>
      <ns0:c r="D37" s="8" t="str">
        <ns0:v>Experiments</ns0:v>
      </ns0:c>
      <ns0:c r="E37" s="8" t="str">
        <ns0:v>Plot voltage against current and determine resistance from the graph slope.</ns0:v>
      </ns0:c>
      <ns0:c r="F37" s="9" t="str">
        <ns0:f>HYPERLINK("https://physics.aimersociety.com/experiments/ohms-law","https://physics.aimersociety.com/experiments/ohms-law")</ns0:f>
        <ns0:v>https://physics.aimersociety.com/experiments/ohms-law</ns0:v>
      </ns0:c>
      <ns0:c r="G37" s="8" t="str">
        <ns0:v>/experiments/ohms-law</ns0:v>
      </ns0:c>
      <ns0:c r="H37" s="8" t="str">
        <ns0:v>src/lib/appDirectory.ts</ns0:v>
      </ns0:c>
      <ns0:c r="I37" s="8" t="str"/>
    </ns0:row>
    <ns0:row r="38" ht="82" customHeight="1">
      <ns0:c r="A38" s="8" t="n">
        <ns0:v>32</ns0:v>
      </ns0:c>
      <ns0:c r="B38" s="8" t="str">
        <ns0:v>Resistance in a Wire</ns0:v>
      </ns0:c>
      <ns0:c r="C38" s="8" t="str">
        <ns0:v>Electricity</ns0:v>
      </ns0:c>
      <ns0:c r="D38" s="8" t="str">
        <ns0:v>Experiments</ns0:v>
      </ns0:c>
      <ns0:c r="E38" s="8" t="str">
        <ns0:v>Investigate how resistivity, wire length, and cross-sectional area determine resistance.</ns0:v>
      </ns0:c>
      <ns0:c r="F38" s="9" t="str">
        <ns0:f>HYPERLINK("https://physics.aimersociety.com/experiments/resistance-in-a-wire","https://physics.aimersociety.com/experiments/resistance-in-a-wire")</ns0:f>
        <ns0:v>https://physics.aimersociety.com/experiments/resistance-in-a-wire</ns0:v>
      </ns0:c>
      <ns0:c r="G38" s="8" t="str">
        <ns0:v>/experiments/resistance-in-a-wire</ns0:v>
      </ns0:c>
      <ns0:c r="H38" s="8" t="str">
        <ns0:v>src/lib/appDirectory.ts</ns0:v>
      </ns0:c>
      <ns0:c r="I38" s="8" t="str"/>
    </ns0:row>
    <ns0:row r="39" ht="82" customHeight="1">
      <ns0:c r="A39" s="8" t="n">
        <ns0:v>33</ns0:v>
      </ns0:c>
      <ns0:c r="B39" s="8" t="str">
        <ns0:v>Series and Parallel Resistance</ns0:v>
      </ns0:c>
      <ns0:c r="C39" s="8" t="str">
        <ns0:v>Electricity</ns0:v>
      </ns0:c>
      <ns0:c r="D39" s="8" t="str">
        <ns0:v>Experiments</ns0:v>
      </ns0:c>
      <ns0:c r="E39" s="8" t="str">
        <ns0:v>Compare equivalent resistance and current in series and parallel circuits.</ns0:v>
      </ns0:c>
      <ns0:c r="F39" s="9" t="str">
        <ns0:f>HYPERLINK("https://physics.aimersociety.com/experiments/series-parallel-resistance","https://physics.aimersociety.com/experiments/series-parallel-resistance")</ns0:f>
        <ns0:v>https://physics.aimersociety.com/experiments/series-parallel-resistance</ns0:v>
      </ns0:c>
      <ns0:c r="G39" s="8" t="str">
        <ns0:v>/experiments/series-parallel-resistance</ns0:v>
      </ns0:c>
      <ns0:c r="H39" s="8" t="str">
        <ns0:v>src/lib/appDirectory.ts</ns0:v>
      </ns0:c>
      <ns0:c r="I39" s="8" t="str"/>
    </ns0:row>
    <ns0:row r="40" ht="82" customHeight="1">
      <ns0:c r="A40" s="8" t="n">
        <ns0:v>34</ns0:v>
      </ns0:c>
      <ns0:c r="B40" s="8" t="str">
        <ns0:v>Static Electricity and Lightning</ns0:v>
      </ns0:c>
      <ns0:c r="C40" s="8" t="str">
        <ns0:v>Electricity</ns0:v>
      </ns0:c>
      <ns0:c r="D40" s="8" t="str">
        <ns0:v>Experiments</ns0:v>
      </ns0:c>
      <ns0:c r="E40" s="8" t="str">
        <ns0:v>Explore attraction, repulsion, and the distance dependence of electric force.</ns0:v>
      </ns0:c>
      <ns0:c r="F40" s="9" t="str">
        <ns0:f>HYPERLINK("https://physics.aimersociety.com/experiments/static-electricity","https://physics.aimersociety.com/experiments/static-electricity")</ns0:f>
        <ns0:v>https://physics.aimersociety.com/experiments/static-electricity</ns0:v>
      </ns0:c>
      <ns0:c r="G40" s="8" t="str">
        <ns0:v>/experiments/static-electricity</ns0:v>
      </ns0:c>
      <ns0:c r="H40" s="8" t="str">
        <ns0:v>src/lib/appDirectory.ts</ns0:v>
      </ns0:c>
      <ns0:c r="I40" s="8" t="str"/>
    </ns0:row>
    <ns0:row r="41" ht="82" customHeight="1">
      <ns0:c r="A41" s="8" t="n">
        <ns0:v>35</ns0:v>
      </ns0:c>
      <ns0:c r="B41" s="8" t="str">
        <ns0:v>Transformer Lab</ns0:v>
      </ns0:c>
      <ns0:c r="C41" s="8" t="str">
        <ns0:v>Electricity</ns0:v>
      </ns0:c>
      <ns0:c r="D41" s="8" t="str">
        <ns0:v>Experiments</ns0:v>
      </ns0:c>
      <ns0:c r="E41" s="8" t="str">
        <ns0:v>Compare primary and secondary voltages, current, and efficiency in a transformer.</ns0:v>
      </ns0:c>
      <ns0:c r="F41" s="9" t="str">
        <ns0:f>HYPERLINK("https://physics.aimersociety.com/experiments/transformer-lab","https://physics.aimersociety.com/experiments/transformer-lab")</ns0:f>
        <ns0:v>https://physics.aimersociety.com/experiments/transformer-lab</ns0:v>
      </ns0:c>
      <ns0:c r="G41" s="8" t="str">
        <ns0:v>/experiments/transformer-lab</ns0:v>
      </ns0:c>
      <ns0:c r="H41" s="8" t="str">
        <ns0:v>src/lib/appDirectory.ts</ns0:v>
      </ns0:c>
      <ns0:c r="I41" s="8" t="str"/>
    </ns0:row>
    <ns0:row r="42" ht="82" customHeight="1">
      <ns0:c r="A42" s="8" t="n">
        <ns0:v>36</ns0:v>
      </ns0:c>
      <ns0:c r="B42" s="8" t="str">
        <ns0:v>Logic Gates</ns0:v>
      </ns0:c>
      <ns0:c r="C42" s="8" t="str">
        <ns0:v>Electronics</ns0:v>
      </ns0:c>
      <ns0:c r="D42" s="8" t="str">
        <ns0:v>Experiments</ns0:v>
      </ns0:c>
      <ns0:c r="E42" s="8" t="str">
        <ns0:v>Build truth tables for NOT, AND, OR, NAND, and NOR gates.</ns0:v>
      </ns0:c>
      <ns0:c r="F42" s="9" t="str">
        <ns0:f>HYPERLINK("https://physics.aimersociety.com/experiments/logic-gates","https://physics.aimersociety.com/experiments/logic-gates")</ns0:f>
        <ns0:v>https://physics.aimersociety.com/experiments/logic-gates</ns0:v>
      </ns0:c>
      <ns0:c r="G42" s="8" t="str">
        <ns0:v>/experiments/logic-gates</ns0:v>
      </ns0:c>
      <ns0:c r="H42" s="8" t="str">
        <ns0:v>src/lib/appDirectory.ts</ns0:v>
      </ns0:c>
      <ns0:c r="I42" s="8" t="str"/>
    </ns0:row>
    <ns0:row r="43" ht="82" customHeight="1">
      <ns0:c r="A43" s="8" t="n">
        <ns0:v>37</ns0:v>
      </ns0:c>
      <ns0:c r="B43" s="8" t="str">
        <ns0:v>Semiconductor Diode and Rectifier</ns0:v>
      </ns0:c>
      <ns0:c r="C43" s="8" t="str">
        <ns0:v>Electronics</ns0:v>
      </ns0:c>
      <ns0:c r="D43" s="8" t="str">
        <ns0:v>Experiments</ns0:v>
      </ns0:c>
      <ns0:c r="E43" s="8" t="str">
        <ns0:v>Compare forward and reverse bias diode current and estimate rectified output.</ns0:v>
      </ns0:c>
      <ns0:c r="F43" s="9" t="str">
        <ns0:f>HYPERLINK("https://physics.aimersociety.com/experiments/semiconductor-diode","https://physics.aimersociety.com/experiments/semiconductor-diode")</ns0:f>
        <ns0:v>https://physics.aimersociety.com/experiments/semiconductor-diode</ns0:v>
      </ns0:c>
      <ns0:c r="G43" s="8" t="str">
        <ns0:v>/experiments/semiconductor-diode</ns0:v>
      </ns0:c>
      <ns0:c r="H43" s="8" t="str">
        <ns0:v>src/lib/appDirectory.ts</ns0:v>
      </ns0:c>
      <ns0:c r="I43" s="8" t="str"/>
    </ns0:row>
    <ns0:row r="44" ht="82" customHeight="1">
      <ns0:c r="A44" s="8" t="n">
        <ns0:v>38</ns0:v>
      </ns0:c>
      <ns0:c r="B44" s="8" t="str">
        <ns0:v>Sources of Energy Comparator</ns0:v>
      </ns0:c>
      <ns0:c r="C44" s="8" t="str">
        <ns0:v>Energy</ns0:v>
      </ns0:c>
      <ns0:c r="D44" s="8" t="str">
        <ns0:v>Experiments</ns0:v>
      </ns0:c>
      <ns0:c r="E44" s="8" t="str">
        <ns0:v>Compare renewable and conventional energy sources using power output, efficiency, cost, and environmental score.</ns0:v>
      </ns0:c>
      <ns0:c r="F44" s="9" t="str">
        <ns0:f>HYPERLINK("https://physics.aimersociety.com/experiments/sources-of-energy","https://physics.aimersociety.com/experiments/sources-of-energy")</ns0:f>
        <ns0:v>https://physics.aimersociety.com/experiments/sources-of-energy</ns0:v>
      </ns0:c>
      <ns0:c r="G44" s="8" t="str">
        <ns0:v>/experiments/sources-of-energy</ns0:v>
      </ns0:c>
      <ns0:c r="H44" s="8" t="str">
        <ns0:v>src/lib/appDirectory.ts</ns0:v>
      </ns0:c>
      <ns0:c r="I44" s="8" t="str"/>
    </ns0:row>
    <ns0:row r="45" ht="82" customHeight="1">
      <ns0:c r="A45" s="8" t="n">
        <ns0:v>39</ns0:v>
      </ns0:c>
      <ns0:c r="B45" s="8" t="str">
        <ns0:v>Bernoulli Fluid Flow</ns0:v>
      </ns0:c>
      <ns0:c r="C45" s="8" t="str">
        <ns0:v>Fluid Mechanics</ns0:v>
      </ns0:c>
      <ns0:c r="D45" s="8" t="str">
        <ns0:v>Experiments</ns0:v>
      </ns0:c>
      <ns0:c r="E45" s="8" t="str">
        <ns0:v>Explore pressure-speed-height tradeoffs in streamline fluid flow.</ns0:v>
      </ns0:c>
      <ns0:c r="F45" s="9" t="str">
        <ns0:f>HYPERLINK("https://physics.aimersociety.com/experiments/bernoulli-fluid-flow","https://physics.aimersociety.com/experiments/bernoulli-fluid-flow")</ns0:f>
        <ns0:v>https://physics.aimersociety.com/experiments/bernoulli-fluid-flow</ns0:v>
      </ns0:c>
      <ns0:c r="G45" s="8" t="str">
        <ns0:v>/experiments/bernoulli-fluid-flow</ns0:v>
      </ns0:c>
      <ns0:c r="H45" s="8" t="str">
        <ns0:v>src/lib/appDirectory.ts</ns0:v>
      </ns0:c>
      <ns0:c r="I45" s="8" t="str"/>
    </ns0:row>
    <ns0:row r="46" ht="82" customHeight="1">
      <ns0:c r="A46" s="8" t="n">
        <ns0:v>40</ns0:v>
      </ns0:c>
      <ns0:c r="B46" s="8" t="str">
        <ns0:v>Buoyancy</ns0:v>
      </ns0:c>
      <ns0:c r="C46" s="8" t="str">
        <ns0:v>Fluid Mechanics</ns0:v>
      </ns0:c>
      <ns0:c r="D46" s="8" t="str">
        <ns0:v>Experiments</ns0:v>
      </ns0:c>
      <ns0:c r="E46" s="8" t="str">
        <ns0:v>Compare floating and sinking using Archimedes' principle.</ns0:v>
      </ns0:c>
      <ns0:c r="F46" s="9" t="str">
        <ns0:f>HYPERLINK("https://physics.aimersociety.com/experiments/buoyancy","https://physics.aimersociety.com/experiments/buoyancy")</ns0:f>
        <ns0:v>https://physics.aimersociety.com/experiments/buoyancy</ns0:v>
      </ns0:c>
      <ns0:c r="G46" s="8" t="str">
        <ns0:v>/experiments/buoyancy</ns0:v>
      </ns0:c>
      <ns0:c r="H46" s="8" t="str">
        <ns0:v>src/lib/appDirectory.ts</ns0:v>
      </ns0:c>
      <ns0:c r="I46" s="8" t="str"/>
    </ns0:row>
    <ns0:row r="47" ht="82" customHeight="1">
      <ns0:c r="A47" s="8" t="n">
        <ns0:v>41</ns0:v>
      </ns0:c>
      <ns0:c r="B47" s="8" t="str">
        <ns0:v>Density Float-or-Sink Tank</ns0:v>
      </ns0:c>
      <ns0:c r="C47" s="8" t="str">
        <ns0:v>Fluid Mechanics</ns0:v>
      </ns0:c>
      <ns0:c r="D47" s="8" t="str">
        <ns0:v>Experiments</ns0:v>
      </ns0:c>
      <ns0:c r="E47" s="8" t="str">
        <ns0:v>Predict whether an object floats or sinks by comparing object density with liquid density.</ns0:v>
      </ns0:c>
      <ns0:c r="F47" s="9" t="str">
        <ns0:f>HYPERLINK("https://physics.aimersociety.com/experiments/density-float-sink","https://physics.aimersociety.com/experiments/density-float-sink")</ns0:f>
        <ns0:v>https://physics.aimersociety.com/experiments/density-float-sink</ns0:v>
      </ns0:c>
      <ns0:c r="G47" s="8" t="str">
        <ns0:v>/experiments/density-float-sink</ns0:v>
      </ns0:c>
      <ns0:c r="H47" s="8" t="str">
        <ns0:v>src/lib/appDirectory.ts</ns0:v>
      </ns0:c>
      <ns0:c r="I47" s="8" t="str"/>
    </ns0:row>
    <ns0:row r="48" ht="82" customHeight="1">
      <ns0:c r="A48" s="8" t="n">
        <ns0:v>42</ns0:v>
      </ns0:c>
      <ns0:c r="B48" s="8" t="str">
        <ns0:v>Fluid Pressure with Depth</ns0:v>
      </ns0:c>
      <ns0:c r="C48" s="8" t="str">
        <ns0:v>Fluid Mechanics</ns0:v>
      </ns0:c>
      <ns0:c r="D48" s="8" t="str">
        <ns0:v>Experiments</ns0:v>
      </ns0:c>
      <ns0:c r="E48" s="8" t="str">
        <ns0:v>Observe how liquid pressure changes with density and depth.</ns0:v>
      </ns0:c>
      <ns0:c r="F48" s="9" t="str">
        <ns0:f>HYPERLINK("https://physics.aimersociety.com/experiments/fluid-pressure","https://physics.aimersociety.com/experiments/fluid-pressure")</ns0:f>
        <ns0:v>https://physics.aimersociety.com/experiments/fluid-pressure</ns0:v>
      </ns0:c>
      <ns0:c r="G48" s="8" t="str">
        <ns0:v>/experiments/fluid-pressure</ns0:v>
      </ns0:c>
      <ns0:c r="H48" s="8" t="str">
        <ns0:v>src/lib/appDirectory.ts</ns0:v>
      </ns0:c>
      <ns0:c r="I48" s="8" t="str"/>
    </ns0:row>
    <ns0:row r="49" ht="82" customHeight="1">
      <ns0:c r="A49" s="8" t="n">
        <ns0:v>43</ns0:v>
      </ns0:c>
      <ns0:c r="B49" s="8" t="str">
        <ns0:v>Force and Pressure</ns0:v>
      </ns0:c>
      <ns0:c r="C49" s="8" t="str">
        <ns0:v>Fluid Mechanics</ns0:v>
      </ns0:c>
      <ns0:c r="D49" s="8" t="str">
        <ns0:v>Experiments</ns0:v>
      </ns0:c>
      <ns0:c r="E49" s="8" t="str">
        <ns0:v>Compare pressure from force over area and pressure due to liquid depth.</ns0:v>
      </ns0:c>
      <ns0:c r="F49" s="9" t="str">
        <ns0:f>HYPERLINK("https://physics.aimersociety.com/experiments/force-and-pressure","https://physics.aimersociety.com/experiments/force-and-pressure")</ns0:f>
        <ns0:v>https://physics.aimersociety.com/experiments/force-and-pressure</ns0:v>
      </ns0:c>
      <ns0:c r="G49" s="8" t="str">
        <ns0:v>/experiments/force-and-pressure</ns0:v>
      </ns0:c>
      <ns0:c r="H49" s="8" t="str">
        <ns0:v>src/lib/appDirectory.ts</ns0:v>
      </ns0:c>
      <ns0:c r="I49" s="8" t="str"/>
    </ns0:row>
    <ns0:row r="50" ht="82" customHeight="1">
      <ns0:c r="A50" s="8" t="n">
        <ns0:v>44</ns0:v>
      </ns0:c>
      <ns0:c r="B50" s="8" t="str">
        <ns0:v>Electromagnet</ns0:v>
      </ns0:c>
      <ns0:c r="C50" s="8" t="str">
        <ns0:v>Magnetism</ns0:v>
      </ns0:c>
      <ns0:c r="D50" s="8" t="str">
        <ns0:v>Experiments</ns0:v>
      </ns0:c>
      <ns0:c r="E50" s="8" t="str">
        <ns0:v>Build a current-controlled magnet and compare the effect of turns, current, and core material.</ns0:v>
      </ns0:c>
      <ns0:c r="F50" s="9" t="str">
        <ns0:f>HYPERLINK("https://physics.aimersociety.com/experiments/electromagnet","https://physics.aimersociety.com/experiments/electromagnet")</ns0:f>
        <ns0:v>https://physics.aimersociety.com/experiments/electromagnet</ns0:v>
      </ns0:c>
      <ns0:c r="G50" s="8" t="str">
        <ns0:v>/experiments/electromagnet</ns0:v>
      </ns0:c>
      <ns0:c r="H50" s="8" t="str">
        <ns0:v>src/lib/appDirectory.ts</ns0:v>
      </ns0:c>
      <ns0:c r="I50" s="8" t="str"/>
    </ns0:row>
    <ns0:row r="51" ht="82" customHeight="1">
      <ns0:c r="A51" s="8" t="n">
        <ns0:v>45</ns0:v>
      </ns0:c>
      <ns0:c r="B51" s="8" t="str">
        <ns0:v>Lorentz Force on Moving Charge</ns0:v>
      </ns0:c>
      <ns0:c r="C51" s="8" t="str">
        <ns0:v>Magnetism</ns0:v>
      </ns0:c>
      <ns0:c r="D51" s="8" t="str">
        <ns0:v>Experiments</ns0:v>
      </ns0:c>
      <ns0:c r="E51" s="8" t="str">
        <ns0:v>Calculate magnetic force and circular radius for a moving charged particle.</ns0:v>
      </ns0:c>
      <ns0:c r="F51" s="9" t="str">
        <ns0:f>HYPERLINK("https://physics.aimersociety.com/experiments/lorentz-force","https://physics.aimersociety.com/experiments/lorentz-force")</ns0:f>
        <ns0:v>https://physics.aimersociety.com/experiments/lorentz-force</ns0:v>
      </ns0:c>
      <ns0:c r="G51" s="8" t="str">
        <ns0:v>/experiments/lorentz-force</ns0:v>
      </ns0:c>
      <ns0:c r="H51" s="8" t="str">
        <ns0:v>src/lib/appDirectory.ts</ns0:v>
      </ns0:c>
      <ns0:c r="I51" s="8" t="str"/>
    </ns0:row>
    <ns0:row r="52" ht="82" customHeight="1">
      <ns0:c r="A52" s="8" t="n">
        <ns0:v>46</ns0:v>
      </ns0:c>
      <ns0:c r="B52" s="8" t="str">
        <ns0:v>Magnetic Field Around Current</ns0:v>
      </ns0:c>
      <ns0:c r="C52" s="8" t="str">
        <ns0:v>Magnetism</ns0:v>
      </ns0:c>
      <ns0:c r="D52" s="8" t="str">
        <ns0:v>Experiments</ns0:v>
      </ns0:c>
      <ns0:c r="E52" s="8" t="str">
        <ns0:v>Visualize magnetic field strength around a wire and coil as current changes.</ns0:v>
      </ns0:c>
      <ns0:c r="F52" s="9" t="str">
        <ns0:f>HYPERLINK("https://physics.aimersociety.com/experiments/magnetic-field-current","https://physics.aimersociety.com/experiments/magnetic-field-current")</ns0:f>
        <ns0:v>https://physics.aimersociety.com/experiments/magnetic-field-current</ns0:v>
      </ns0:c>
      <ns0:c r="G52" s="8" t="str">
        <ns0:v>/experiments/magnetic-field-current</ns0:v>
      </ns0:c>
      <ns0:c r="H52" s="8" t="str">
        <ns0:v>src/lib/appDirectory.ts</ns0:v>
      </ns0:c>
      <ns0:c r="I52" s="8" t="str"/>
    </ns0:row>
    <ns0:row r="53" ht="82" customHeight="1">
      <ns0:c r="A53" s="8" t="n">
        <ns0:v>47</ns0:v>
      </ns0:c>
      <ns0:c r="B53" s="8" t="str">
        <ns0:v>Computational Physics Workflow</ns0:v>
      </ns0:c>
      <ns0:c r="C53" s="8" t="str">
        <ns0:v>Measurement</ns0:v>
      </ns0:c>
      <ns0:c r="D53" s="8" t="str">
        <ns0:v>Experiments</ns0:v>
      </ns0:c>
      <ns0:c r="E53" s="8" t="str">
        <ns0:v>Build a small reproducible physics workflow: choose a model, step size, uncertainty, graph, and verification rule.</ns0:v>
      </ns0:c>
      <ns0:c r="F53" s="9" t="str">
        <ns0:f>HYPERLINK("https://physics.aimersociety.com/experiments/computational-physics-workflow","https://physics.aimersociety.com/experiments/computational-physics-workflow")</ns0:f>
        <ns0:v>https://physics.aimersociety.com/experiments/computational-physics-workflow</ns0:v>
      </ns0:c>
      <ns0:c r="G53" s="8" t="str">
        <ns0:v>/experiments/computational-physics-workflow</ns0:v>
      </ns0:c>
      <ns0:c r="H53" s="8" t="str">
        <ns0:v>src/lib/appDirectory.ts</ns0:v>
      </ns0:c>
      <ns0:c r="I53" s="8" t="str"/>
    </ns0:row>
    <ns0:row r="54" ht="82" customHeight="1">
      <ns0:c r="A54" s="8" t="n">
        <ns0:v>48</ns0:v>
      </ns0:c>
      <ns0:c r="B54" s="8" t="str">
        <ns0:v>Measurement, Error, and Significant Figures</ns0:v>
      </ns0:c>
      <ns0:c r="C54" s="8" t="str">
        <ns0:v>Measurement</ns0:v>
      </ns0:c>
      <ns0:c r="D54" s="8" t="str">
        <ns0:v>Experiments</ns0:v>
      </ns0:c>
      <ns0:c r="E54" s="8" t="str">
        <ns0:v>Estimate absolute, relative, and percentage error from repeated measurements.</ns0:v>
      </ns0:c>
      <ns0:c r="F54" s="9" t="str">
        <ns0:f>HYPERLINK("https://physics.aimersociety.com/experiments/measurement-errors","https://physics.aimersociety.com/experiments/measurement-errors")</ns0:f>
        <ns0:v>https://physics.aimersociety.com/experiments/measurement-errors</ns0:v>
      </ns0:c>
      <ns0:c r="G54" s="8" t="str">
        <ns0:v>/experiments/measurement-errors</ns0:v>
      </ns0:c>
      <ns0:c r="H54" s="8" t="str">
        <ns0:v>src/lib/appDirectory.ts</ns0:v>
      </ns0:c>
      <ns0:c r="I54" s="8" t="str"/>
    </ns0:row>
    <ns0:row r="55" ht="82" customHeight="1">
      <ns0:c r="A55" s="8" t="n">
        <ns0:v>49</ns0:v>
      </ns0:c>
      <ns0:c r="B55" s="8" t="str">
        <ns0:v>Balanced and Unbalanced Forces</ns0:v>
      </ns0:c>
      <ns0:c r="C55" s="8" t="str">
        <ns0:v>Mechanics</ns0:v>
      </ns0:c>
      <ns0:c r="D55" s="8" t="str">
        <ns0:v>Experiments</ns0:v>
      </ns0:c>
      <ns0:c r="E55" s="8" t="str">
        <ns0:v>Compare left and right forces and predict whether an object stays still, moves steadily, or accelerates.</ns0:v>
      </ns0:c>
      <ns0:c r="F55" s="9" t="str">
        <ns0:f>HYPERLINK("https://physics.aimersociety.com/experiments/balanced-unbalanced-forces","https://physics.aimersociety.com/experiments/balanced-unbalanced-forces")</ns0:f>
        <ns0:v>https://physics.aimersociety.com/experiments/balanced-unbalanced-forces</ns0:v>
      </ns0:c>
      <ns0:c r="G55" s="8" t="str">
        <ns0:v>/experiments/balanced-unbalanced-forces</ns0:v>
      </ns0:c>
      <ns0:c r="H55" s="8" t="str">
        <ns0:v>src/lib/appDirectory.ts</ns0:v>
      </ns0:c>
      <ns0:c r="I55" s="8" t="str"/>
    </ns0:row>
    <ns0:row r="56" ht="82" customHeight="1">
      <ns0:c r="A56" s="8" t="n">
        <ns0:v>50</ns0:v>
      </ns0:c>
      <ns0:c r="B56" s="8" t="str">
        <ns0:v>Balancing Act</ns0:v>
      </ns0:c>
      <ns0:c r="C56" s="8" t="str">
        <ns0:v>Mechanics</ns0:v>
      </ns0:c>
      <ns0:c r="D56" s="8" t="str">
        <ns0:v>Experiments</ns0:v>
      </ns0:c>
      <ns0:c r="E56" s="8" t="str">
        <ns0:v>Balance a beam by changing mass and lever-arm distance, then explain rotational equilibrium.</ns0:v>
      </ns0:c>
      <ns0:c r="F56" s="9" t="str">
        <ns0:f>HYPERLINK("https://physics.aimersociety.com/experiments/balancing-act","https://physics.aimersociety.com/experiments/balancing-act")</ns0:f>
        <ns0:v>https://physics.aimersociety.com/experiments/balancing-act</ns0:v>
      </ns0:c>
      <ns0:c r="G56" s="8" t="str">
        <ns0:v>/experiments/balancing-act</ns0:v>
      </ns0:c>
      <ns0:c r="H56" s="8" t="str">
        <ns0:v>src/lib/appDirectory.ts</ns0:v>
      </ns0:c>
      <ns0:c r="I56" s="8" t="str"/>
    </ns0:row>
    <ns0:row r="57" ht="82" customHeight="1">
      <ns0:c r="A57" s="8" t="n">
        <ns0:v>51</ns0:v>
      </ns0:c>
      <ns0:c r="B57" s="8" t="str">
        <ns0:v>Circular Motion</ns0:v>
      </ns0:c>
      <ns0:c r="C57" s="8" t="str">
        <ns0:v>Mechanics</ns0:v>
      </ns0:c>
      <ns0:c r="D57" s="8" t="str">
        <ns0:v>Experiments</ns0:v>
      </ns0:c>
      <ns0:c r="E57" s="8" t="str">
        <ns0:v>Explore circular motion with editable variables and live measurements.</ns0:v>
      </ns0:c>
      <ns0:c r="F57" s="9" t="str">
        <ns0:f>HYPERLINK("https://physics.aimersociety.com/experiments/circular-motion","https://physics.aimersociety.com/experiments/circular-motion")</ns0:f>
        <ns0:v>https://physics.aimersociety.com/experiments/circular-motion</ns0:v>
      </ns0:c>
      <ns0:c r="G57" s="8" t="str">
        <ns0:v>/experiments/circular-motion</ns0:v>
      </ns0:c>
      <ns0:c r="H57" s="8" t="str">
        <ns0:v>src/lib/appDirectory.ts</ns0:v>
      </ns0:c>
      <ns0:c r="I57" s="8" t="str"/>
    </ns0:row>
    <ns0:row r="58" ht="82" customHeight="1">
      <ns0:c r="A58" s="8" t="n">
        <ns0:v>52</ns0:v>
      </ns0:c>
      <ns0:c r="B58" s="8" t="str">
        <ns0:v>Conservation of Energy</ns0:v>
      </ns0:c>
      <ns0:c r="C58" s="8" t="str">
        <ns0:v>Mechanics</ns0:v>
      </ns0:c>
      <ns0:c r="D58" s="8" t="str">
        <ns0:v>Experiments</ns0:v>
      </ns0:c>
      <ns0:c r="E58" s="8" t="str">
        <ns0:v>Explore conservation of energy with editable variables and live measurements.</ns0:v>
      </ns0:c>
      <ns0:c r="F58" s="9" t="str">
        <ns0:f>HYPERLINK("https://physics.aimersociety.com/experiments/conservation-of-energy","https://physics.aimersociety.com/experiments/conservation-of-energy")</ns0:f>
        <ns0:v>https://physics.aimersociety.com/experiments/conservation-of-energy</ns0:v>
      </ns0:c>
      <ns0:c r="G58" s="8" t="str">
        <ns0:v>/experiments/conservation-of-energy</ns0:v>
      </ns0:c>
      <ns0:c r="H58" s="8" t="str">
        <ns0:v>src/lib/appDirectory.ts</ns0:v>
      </ns0:c>
      <ns0:c r="I58" s="8" t="str"/>
    </ns0:row>
    <ns0:row r="59" ht="82" customHeight="1">
      <ns0:c r="A59" s="8" t="n">
        <ns0:v>53</ns0:v>
      </ns0:c>
      <ns0:c r="B59" s="8" t="str">
        <ns0:v>Distance-Time Graph Builder</ns0:v>
      </ns0:c>
      <ns0:c r="C59" s="8" t="str">
        <ns0:v>Mechanics</ns0:v>
      </ns0:c>
      <ns0:c r="D59" s="8" t="str">
        <ns0:v>Experiments</ns0:v>
      </ns0:c>
      <ns0:c r="E59" s="8" t="str">
        <ns0:v>Build a distance-time graph and connect slope with speed.</ns0:v>
      </ns0:c>
      <ns0:c r="F59" s="9" t="str">
        <ns0:f>HYPERLINK("https://physics.aimersociety.com/experiments/distance-time-graph","https://physics.aimersociety.com/experiments/distance-time-graph")</ns0:f>
        <ns0:v>https://physics.aimersociety.com/experiments/distance-time-graph</ns0:v>
      </ns0:c>
      <ns0:c r="G59" s="8" t="str">
        <ns0:v>/experiments/distance-time-graph</ns0:v>
      </ns0:c>
      <ns0:c r="H59" s="8" t="str">
        <ns0:v>src/lib/appDirectory.ts</ns0:v>
      </ns0:c>
      <ns0:c r="I59" s="8" t="str"/>
    </ns0:row>
    <ns0:row r="60" ht="82" customHeight="1">
      <ns0:c r="A60" s="8" t="n">
        <ns0:v>54</ns0:v>
      </ns0:c>
      <ns0:c r="B60" s="8" t="str">
        <ns0:v>Elastic Collision</ns0:v>
      </ns0:c>
      <ns0:c r="C60" s="8" t="str">
        <ns0:v>Mechanics</ns0:v>
      </ns0:c>
      <ns0:c r="D60" s="8" t="str">
        <ns0:v>Experiments</ns0:v>
      </ns0:c>
      <ns0:c r="E60" s="8" t="str">
        <ns0:v>Explore elastic collision with editable variables and live measurements.</ns0:v>
      </ns0:c>
      <ns0:c r="F60" s="9" t="str">
        <ns0:f>HYPERLINK("https://physics.aimersociety.com/experiments/elastic-collision","https://physics.aimersociety.com/experiments/elastic-collision")</ns0:f>
        <ns0:v>https://physics.aimersociety.com/experiments/elastic-collision</ns0:v>
      </ns0:c>
      <ns0:c r="G60" s="8" t="str">
        <ns0:v>/experiments/elastic-collision</ns0:v>
      </ns0:c>
      <ns0:c r="H60" s="8" t="str">
        <ns0:v>src/lib/appDirectory.ts</ns0:v>
      </ns0:c>
      <ns0:c r="I60" s="8" t="str"/>
    </ns0:row>
    <ns0:row r="61" ht="82" customHeight="1">
      <ns0:c r="A61" s="8" t="n">
        <ns0:v>55</ns0:v>
      </ns0:c>
      <ns0:c r="B61" s="8" t="str">
        <ns0:v>Free Fall</ns0:v>
      </ns0:c>
      <ns0:c r="C61" s="8" t="str">
        <ns0:v>Mechanics</ns0:v>
      </ns0:c>
      <ns0:c r="D61" s="8" t="str">
        <ns0:v>Experiments</ns0:v>
      </ns0:c>
      <ns0:c r="E61" s="8" t="str">
        <ns0:v>Study motion under gravity and calculate impact speed and time of fall.</ns0:v>
      </ns0:c>
      <ns0:c r="F61" s="9" t="str">
        <ns0:f>HYPERLINK("https://physics.aimersociety.com/experiments/free-fall","https://physics.aimersociety.com/experiments/free-fall")</ns0:f>
        <ns0:v>https://physics.aimersociety.com/experiments/free-fall</ns0:v>
      </ns0:c>
      <ns0:c r="G61" s="8" t="str">
        <ns0:v>/experiments/free-fall</ns0:v>
      </ns0:c>
      <ns0:c r="H61" s="8" t="str">
        <ns0:v>src/lib/appDirectory.ts</ns0:v>
      </ns0:c>
      <ns0:c r="I61" s="8" t="str"/>
    </ns0:row>
    <ns0:row r="62" ht="82" customHeight="1">
      <ns0:c r="A62" s="8" t="n">
        <ns0:v>56</ns0:v>
      </ns0:c>
      <ns0:c r="B62" s="8" t="str">
        <ns0:v>Friction</ns0:v>
      </ns0:c>
      <ns0:c r="C62" s="8" t="str">
        <ns0:v>Mechanics</ns0:v>
      </ns0:c>
      <ns0:c r="D62" s="8" t="str">
        <ns0:v>Experiments</ns0:v>
      </ns0:c>
      <ns0:c r="E62" s="8" t="str">
        <ns0:v>Explore friction with editable variables and live measurements.</ns0:v>
      </ns0:c>
      <ns0:c r="F62" s="9" t="str">
        <ns0:f>HYPERLINK("https://physics.aimersociety.com/experiments/friction","https://physics.aimersociety.com/experiments/friction")</ns0:f>
        <ns0:v>https://physics.aimersociety.com/experiments/friction</ns0:v>
      </ns0:c>
      <ns0:c r="G62" s="8" t="str">
        <ns0:v>/experiments/friction</ns0:v>
      </ns0:c>
      <ns0:c r="H62" s="8" t="str">
        <ns0:v>src/lib/appDirectory.ts</ns0:v>
      </ns0:c>
      <ns0:c r="I62" s="8" t="str"/>
    </ns0:row>
    <ns0:row r="63" ht="82" customHeight="1">
      <ns0:c r="A63" s="8" t="n">
        <ns0:v>57</ns0:v>
      </ns0:c>
      <ns0:c r="B63" s="8" t="str">
        <ns0:v>Hooke's Law</ns0:v>
      </ns0:c>
      <ns0:c r="C63" s="8" t="str">
        <ns0:v>Mechanics</ns0:v>
      </ns0:c>
      <ns0:c r="D63" s="8" t="str">
        <ns0:v>Experiments</ns0:v>
      </ns0:c>
      <ns0:c r="E63" s="8" t="str">
        <ns0:v>Explore hooke's law with editable variables and live measurements.</ns0:v>
      </ns0:c>
      <ns0:c r="F63" s="9" t="str">
        <ns0:f>HYPERLINK("https://physics.aimersociety.com/experiments/hooke-s-law","https://physics.aimersociety.com/experiments/hooke-s-law")</ns0:f>
        <ns0:v>https://physics.aimersociety.com/experiments/hooke-s-law</ns0:v>
      </ns0:c>
      <ns0:c r="G63" s="8" t="str">
        <ns0:v>/experiments/hooke-s-law</ns0:v>
      </ns0:c>
      <ns0:c r="H63" s="8" t="str">
        <ns0:v>src/lib/appDirectory.ts</ns0:v>
      </ns0:c>
      <ns0:c r="I63" s="8" t="str"/>
    </ns0:row>
    <ns0:row r="64" ht="82" customHeight="1">
      <ns0:c r="A64" s="8" t="n">
        <ns0:v>58</ns0:v>
      </ns0:c>
      <ns0:c r="B64" s="8" t="str">
        <ns0:v>Inclined Plane</ns0:v>
      </ns0:c>
      <ns0:c r="C64" s="8" t="str">
        <ns0:v>Mechanics</ns0:v>
      </ns0:c>
      <ns0:c r="D64" s="8" t="str">
        <ns0:v>Experiments</ns0:v>
      </ns0:c>
      <ns0:c r="E64" s="8" t="str">
        <ns0:v>Explore inclined plane with editable variables and live measurements.</ns0:v>
      </ns0:c>
      <ns0:c r="F64" s="9" t="str">
        <ns0:f>HYPERLINK("https://physics.aimersociety.com/experiments/inclined-plane","https://physics.aimersociety.com/experiments/inclined-plane")</ns0:f>
        <ns0:v>https://physics.aimersociety.com/experiments/inclined-plane</ns0:v>
      </ns0:c>
      <ns0:c r="G64" s="8" t="str">
        <ns0:v>/experiments/inclined-plane</ns0:v>
      </ns0:c>
      <ns0:c r="H64" s="8" t="str">
        <ns0:v>src/lib/appDirectory.ts</ns0:v>
      </ns0:c>
      <ns0:c r="I64" s="8" t="str"/>
    </ns0:row>
    <ns0:row r="65" ht="82" customHeight="1">
      <ns0:c r="A65" s="8" t="n">
        <ns0:v>59</ns0:v>
      </ns0:c>
      <ns0:c r="B65" s="8" t="str">
        <ns0:v>Mass and Weight</ns0:v>
      </ns0:c>
      <ns0:c r="C65" s="8" t="str">
        <ns0:v>Mechanics</ns0:v>
      </ns0:c>
      <ns0:c r="D65" s="8" t="str">
        <ns0:v>Experiments</ns0:v>
      </ns0:c>
      <ns0:c r="E65" s="8" t="str">
        <ns0:v>Compare mass and weight across different gravitational fields.</ns0:v>
      </ns0:c>
      <ns0:c r="F65" s="9" t="str">
        <ns0:f>HYPERLINK("https://physics.aimersociety.com/experiments/mass-and-weight","https://physics.aimersociety.com/experiments/mass-and-weight")</ns0:f>
        <ns0:v>https://physics.aimersociety.com/experiments/mass-and-weight</ns0:v>
      </ns0:c>
      <ns0:c r="G65" s="8" t="str">
        <ns0:v>/experiments/mass-and-weight</ns0:v>
      </ns0:c>
      <ns0:c r="H65" s="8" t="str">
        <ns0:v>src/lib/appDirectory.ts</ns0:v>
      </ns0:c>
      <ns0:c r="I65" s="8" t="str"/>
    </ns0:row>
    <ns0:row r="66" ht="82" customHeight="1">
      <ns0:c r="A66" s="8" t="n">
        <ns0:v>60</ns0:v>
      </ns0:c>
      <ns0:c r="B66" s="8" t="str">
        <ns0:v>Newton's Second Law</ns0:v>
      </ns0:c>
      <ns0:c r="C66" s="8" t="str">
        <ns0:v>Mechanics</ns0:v>
      </ns0:c>
      <ns0:c r="D66" s="8" t="str">
        <ns0:v>Experiments</ns0:v>
      </ns0:c>
      <ns0:c r="E66" s="8" t="str">
        <ns0:v>Explore newton's second law with editable variables and live measurements.</ns0:v>
      </ns0:c>
      <ns0:c r="F66" s="9" t="str">
        <ns0:f>HYPERLINK("https://physics.aimersociety.com/experiments/newton-s-second-law","https://physics.aimersociety.com/experiments/newton-s-second-law")</ns0:f>
        <ns0:v>https://physics.aimersociety.com/experiments/newton-s-second-law</ns0:v>
      </ns0:c>
      <ns0:c r="G66" s="8" t="str">
        <ns0:v>/experiments/newton-s-second-law</ns0:v>
      </ns0:c>
      <ns0:c r="H66" s="8" t="str">
        <ns0:v>src/lib/appDirectory.ts</ns0:v>
      </ns0:c>
      <ns0:c r="I66" s="8" t="str"/>
    </ns0:row>
    <ns0:row r="67" ht="82" customHeight="1">
      <ns0:c r="A67" s="8" t="n">
        <ns0:v>61</ns0:v>
      </ns0:c>
      <ns0:c r="B67" s="8" t="str">
        <ns0:v>Projectile Motion</ns0:v>
      </ns0:c>
      <ns0:c r="C67" s="8" t="str">
        <ns0:v>Mechanics</ns0:v>
      </ns0:c>
      <ns0:c r="D67" s="8" t="str">
        <ns0:v>Experiments</ns0:v>
      </ns0:c>
      <ns0:c r="E67" s="8" t="str">
        <ns0:v>Study how initial speed, launch angle, and gravity affect projectile range and height; use mass to discuss why the ideal model ignores air resistance.</ns0:v>
      </ns0:c>
      <ns0:c r="F67" s="9" t="str">
        <ns0:f>HYPERLINK("https://physics.aimersociety.com/experiments/projectile-motion","https://physics.aimersociety.com/experiments/projectile-motion")</ns0:f>
        <ns0:v>https://physics.aimersociety.com/experiments/projectile-motion</ns0:v>
      </ns0:c>
      <ns0:c r="G67" s="8" t="str">
        <ns0:v>/experiments/projectile-motion</ns0:v>
      </ns0:c>
      <ns0:c r="H67" s="8" t="str">
        <ns0:v>src/lib/appDirectory.ts</ns0:v>
      </ns0:c>
      <ns0:c r="I67" s="8" t="str"/>
    </ns0:row>
    <ns0:row r="68" ht="82" customHeight="1">
      <ns0:c r="A68" s="8" t="n">
        <ns0:v>62</ns0:v>
      </ns0:c>
      <ns0:c r="B68" s="8" t="str">
        <ns0:v>Rotational Dynamics</ns0:v>
      </ns0:c>
      <ns0:c r="C68" s="8" t="str">
        <ns0:v>Mechanics</ns0:v>
      </ns0:c>
      <ns0:c r="D68" s="8" t="str">
        <ns0:v>Experiments</ns0:v>
      </ns0:c>
      <ns0:c r="E68" s="8" t="str">
        <ns0:v>Relate torque, moment of inertia, and angular acceleration for rotating bodies.</ns0:v>
      </ns0:c>
      <ns0:c r="F68" s="9" t="str">
        <ns0:f>HYPERLINK("https://physics.aimersociety.com/experiments/rotational-dynamics","https://physics.aimersociety.com/experiments/rotational-dynamics")</ns0:f>
        <ns0:v>https://physics.aimersociety.com/experiments/rotational-dynamics</ns0:v>
      </ns0:c>
      <ns0:c r="G68" s="8" t="str">
        <ns0:v>/experiments/rotational-dynamics</ns0:v>
      </ns0:c>
      <ns0:c r="H68" s="8" t="str">
        <ns0:v>src/lib/appDirectory.ts</ns0:v>
      </ns0:c>
      <ns0:c r="I68" s="8" t="str"/>
    </ns0:row>
    <ns0:row r="69" ht="82" customHeight="1">
      <ns0:c r="A69" s="8" t="n">
        <ns0:v>63</ns0:v>
      </ns0:c>
      <ns0:c r="B69" s="8" t="str">
        <ns0:v>Simple Pendulum</ns0:v>
      </ns0:c>
      <ns0:c r="C69" s="8" t="str">
        <ns0:v>Mechanics</ns0:v>
      </ns0:c>
      <ns0:c r="D69" s="8" t="str">
        <ns0:v>Experiments</ns0:v>
      </ns0:c>
      <ns0:c r="E69" s="8" t="str">
        <ns0:v>Explore simple pendulum with editable variables and live measurements.</ns0:v>
      </ns0:c>
      <ns0:c r="F69" s="9" t="str">
        <ns0:f>HYPERLINK("https://physics.aimersociety.com/experiments/simple-pendulum","https://physics.aimersociety.com/experiments/simple-pendulum")</ns0:f>
        <ns0:v>https://physics.aimersociety.com/experiments/simple-pendulum</ns0:v>
      </ns0:c>
      <ns0:c r="G69" s="8" t="str">
        <ns0:v>/experiments/simple-pendulum</ns0:v>
      </ns0:c>
      <ns0:c r="H69" s="8" t="str">
        <ns0:v>src/lib/appDirectory.ts</ns0:v>
      </ns0:c>
      <ns0:c r="I69" s="8" t="str"/>
    </ns0:row>
    <ns0:row r="70" ht="82" customHeight="1">
      <ns0:c r="A70" s="8" t="n">
        <ns0:v>64</ns0:v>
      </ns0:c>
      <ns0:c r="B70" s="8" t="str">
        <ns0:v>Uniform Motion</ns0:v>
      </ns0:c>
      <ns0:c r="C70" s="8" t="str">
        <ns0:v>Mechanics</ns0:v>
      </ns0:c>
      <ns0:c r="D70" s="8" t="str">
        <ns0:v>Experiments</ns0:v>
      </ns0:c>
      <ns0:c r="E70" s="8" t="str">
        <ns0:v>Explore uniform motion with editable variables and live measurements.</ns0:v>
      </ns0:c>
      <ns0:c r="F70" s="9" t="str">
        <ns0:f>HYPERLINK("https://physics.aimersociety.com/experiments/uniform-motion","https://physics.aimersociety.com/experiments/uniform-motion")</ns0:f>
        <ns0:v>https://physics.aimersociety.com/experiments/uniform-motion</ns0:v>
      </ns0:c>
      <ns0:c r="G70" s="8" t="str">
        <ns0:v>/experiments/uniform-motion</ns0:v>
      </ns0:c>
      <ns0:c r="H70" s="8" t="str">
        <ns0:v>src/lib/appDirectory.ts</ns0:v>
      </ns0:c>
      <ns0:c r="I70" s="8" t="str"/>
    </ns0:row>
    <ns0:row r="71" ht="82" customHeight="1">
      <ns0:c r="A71" s="8" t="n">
        <ns0:v>65</ns0:v>
      </ns0:c>
      <ns0:c r="B71" s="8" t="str">
        <ns0:v>Vector Resolution</ns0:v>
      </ns0:c>
      <ns0:c r="C71" s="8" t="str">
        <ns0:v>Mechanics</ns0:v>
      </ns0:c>
      <ns0:c r="D71" s="8" t="str">
        <ns0:v>Experiments</ns0:v>
      </ns0:c>
      <ns0:c r="E71" s="8" t="str">
        <ns0:v>Resolve a vector into rectangular components and reconstruct its magnitude.</ns0:v>
      </ns0:c>
      <ns0:c r="F71" s="9" t="str">
        <ns0:f>HYPERLINK("https://physics.aimersociety.com/experiments/vector-resolution","https://physics.aimersociety.com/experiments/vector-resolution")</ns0:f>
        <ns0:v>https://physics.aimersociety.com/experiments/vector-resolution</ns0:v>
      </ns0:c>
      <ns0:c r="G71" s="8" t="str">
        <ns0:v>/experiments/vector-resolution</ns0:v>
      </ns0:c>
      <ns0:c r="H71" s="8" t="str">
        <ns0:v>src/lib/appDirectory.ts</ns0:v>
      </ns0:c>
      <ns0:c r="I71" s="8" t="str"/>
    </ns0:row>
    <ns0:row r="72" ht="82" customHeight="1">
      <ns0:c r="A72" s="8" t="n">
        <ns0:v>66</ns0:v>
      </ns0:c>
      <ns0:c r="B72" s="8" t="str">
        <ns0:v>Work and Power</ns0:v>
      </ns0:c>
      <ns0:c r="C72" s="8" t="str">
        <ns0:v>Mechanics</ns0:v>
      </ns0:c>
      <ns0:c r="D72" s="8" t="str">
        <ns0:v>Experiments</ns0:v>
      </ns0:c>
      <ns0:c r="E72" s="8" t="str">
        <ns0:v>Calculate work done and power for a force moving an object through a displacement.</ns0:v>
      </ns0:c>
      <ns0:c r="F72" s="9" t="str">
        <ns0:f>HYPERLINK("https://physics.aimersociety.com/experiments/work-power","https://physics.aimersociety.com/experiments/work-power")</ns0:f>
        <ns0:v>https://physics.aimersociety.com/experiments/work-power</ns0:v>
      </ns0:c>
      <ns0:c r="G72" s="8" t="str">
        <ns0:v>/experiments/work-power</ns0:v>
      </ns0:c>
      <ns0:c r="H72" s="8" t="str">
        <ns0:v>src/lib/appDirectory.ts</ns0:v>
      </ns0:c>
      <ns0:c r="I72" s="8" t="str"/>
    </ns0:row>
    <ns0:row r="73" ht="82" customHeight="1">
      <ns0:c r="A73" s="8" t="n">
        <ns0:v>67</ns0:v>
      </ns0:c>
      <ns0:c r="B73" s="8" t="str">
        <ns0:v>Advanced Quantum Operators</ns0:v>
      </ns0:c>
      <ns0:c r="C73" s="8" t="str">
        <ns0:v>Modern Physics</ns0:v>
      </ns0:c>
      <ns0:c r="D73" s="8" t="str">
        <ns0:v>Experiments</ns0:v>
      </ns0:c>
      <ns0:c r="E73" s="8" t="str">
        <ns0:v>Visualize state vectors, operator action, measurement projection, and tunneling or scattering probability as one compact model.</ns0:v>
      </ns0:c>
      <ns0:c r="F73" s="9" t="str">
        <ns0:f>HYPERLINK("https://physics.aimersociety.com/experiments/advanced-quantum-operators","https://physics.aimersociety.com/experiments/advanced-quantum-operators")</ns0:f>
        <ns0:v>https://physics.aimersociety.com/experiments/advanced-quantum-operators</ns0:v>
      </ns0:c>
      <ns0:c r="G73" s="8" t="str">
        <ns0:v>/experiments/advanced-quantum-operators</ns0:v>
      </ns0:c>
      <ns0:c r="H73" s="8" t="str">
        <ns0:v>src/lib/appDirectory.ts</ns0:v>
      </ns0:c>
      <ns0:c r="I73" s="8" t="str"/>
    </ns0:row>
    <ns0:row r="74" ht="82" customHeight="1">
      <ns0:c r="A74" s="8" t="n">
        <ns0:v>68</ns0:v>
      </ns0:c>
      <ns0:c r="B74" s="8" t="str">
        <ns0:v>Atomic Interactions</ns0:v>
      </ns0:c>
      <ns0:c r="C74" s="8" t="str">
        <ns0:v>Modern Physics</ns0:v>
      </ns0:c>
      <ns0:c r="D74" s="8" t="str">
        <ns0:v>Experiments</ns0:v>
      </ns0:c>
      <ns0:c r="E74" s="8" t="str">
        <ns0:v>Explore attractive and repulsive forces between neutral atoms using a Lennard-Jones model.</ns0:v>
      </ns0:c>
      <ns0:c r="F74" s="9" t="str">
        <ns0:f>HYPERLINK("https://physics.aimersociety.com/experiments/atomic-interactions","https://physics.aimersociety.com/experiments/atomic-interactions")</ns0:f>
        <ns0:v>https://physics.aimersociety.com/experiments/atomic-interactions</ns0:v>
      </ns0:c>
      <ns0:c r="G74" s="8" t="str">
        <ns0:v>/experiments/atomic-interactions</ns0:v>
      </ns0:c>
      <ns0:c r="H74" s="8" t="str">
        <ns0:v>src/lib/appDirectory.ts</ns0:v>
      </ns0:c>
      <ns0:c r="I74" s="8" t="str"/>
    </ns0:row>
    <ns0:row r="75" ht="82" customHeight="1">
      <ns0:c r="A75" s="8" t="n">
        <ns0:v>69</ns0:v>
      </ns0:c>
      <ns0:c r="B75" s="8" t="str">
        <ns0:v>Bohr Atom Transitions</ns0:v>
      </ns0:c>
      <ns0:c r="C75" s="8" t="str">
        <ns0:v>Modern Physics</ns0:v>
      </ns0:c>
      <ns0:c r="D75" s="8" t="str">
        <ns0:v>Experiments</ns0:v>
      </ns0:c>
      <ns0:c r="E75" s="8" t="str">
        <ns0:v>Visualize hydrogen energy levels, spectral lines, and photon emission/absorption.</ns0:v>
      </ns0:c>
      <ns0:c r="F75" s="9" t="str">
        <ns0:f>HYPERLINK("https://physics.aimersociety.com/experiments/bohr-model","https://physics.aimersociety.com/experiments/bohr-model")</ns0:f>
        <ns0:v>https://physics.aimersociety.com/experiments/bohr-model</ns0:v>
      </ns0:c>
      <ns0:c r="G75" s="8" t="str">
        <ns0:v>/experiments/bohr-model</ns0:v>
      </ns0:c>
      <ns0:c r="H75" s="8" t="str">
        <ns0:v>src/lib/appDirectory.ts</ns0:v>
      </ns0:c>
      <ns0:c r="I75" s="8" t="str"/>
    </ns0:row>
    <ns0:row r="76" ht="82" customHeight="1">
      <ns0:c r="A76" s="8" t="n">
        <ns0:v>70</ns0:v>
      </ns0:c>
      <ns0:c r="B76" s="8" t="str">
        <ns0:v>Build a Nucleus</ns0:v>
      </ns0:c>
      <ns0:c r="C76" s="8" t="str">
        <ns0:v>Modern Physics</ns0:v>
      </ns0:c>
      <ns0:c r="D76" s="8" t="str">
        <ns0:v>Experiments</ns0:v>
      </ns0:c>
      <ns0:c r="E76" s="8" t="str">
        <ns0:v>Construct nuclei from protons and neutrons and compare mass number, neutron ratio, and binding-energy trends.</ns0:v>
      </ns0:c>
      <ns0:c r="F76" s="9" t="str">
        <ns0:f>HYPERLINK("https://physics.aimersociety.com/experiments/build-a-nucleus","https://physics.aimersociety.com/experiments/build-a-nucleus")</ns0:f>
        <ns0:v>https://physics.aimersociety.com/experiments/build-a-nucleus</ns0:v>
      </ns0:c>
      <ns0:c r="G76" s="8" t="str">
        <ns0:v>/experiments/build-a-nucleus</ns0:v>
      </ns0:c>
      <ns0:c r="H76" s="8" t="str">
        <ns0:v>src/lib/appDirectory.ts</ns0:v>
      </ns0:c>
      <ns0:c r="I76" s="8" t="str"/>
    </ns0:row>
    <ns0:row r="77" ht="82" customHeight="1">
      <ns0:c r="A77" s="8" t="n">
        <ns0:v>71</ns0:v>
      </ns0:c>
      <ns0:c r="B77" s="8" t="str">
        <ns0:v>de Broglie Wavelength</ns0:v>
      </ns0:c>
      <ns0:c r="C77" s="8" t="str">
        <ns0:v>Modern Physics</ns0:v>
      </ns0:c>
      <ns0:c r="D77" s="8" t="str">
        <ns0:v>Experiments</ns0:v>
      </ns0:c>
      <ns0:c r="E77" s="8" t="str">
        <ns0:v>Connect particle momentum and accelerating voltage to matter-wave wavelength.</ns0:v>
      </ns0:c>
      <ns0:c r="F77" s="9" t="str">
        <ns0:f>HYPERLINK("https://physics.aimersociety.com/experiments/de-broglie-wavelength","https://physics.aimersociety.com/experiments/de-broglie-wavelength")</ns0:f>
        <ns0:v>https://physics.aimersociety.com/experiments/de-broglie-wavelength</ns0:v>
      </ns0:c>
      <ns0:c r="G77" s="8" t="str">
        <ns0:v>/experiments/de-broglie-wavelength</ns0:v>
      </ns0:c>
      <ns0:c r="H77" s="8" t="str">
        <ns0:v>src/lib/appDirectory.ts</ns0:v>
      </ns0:c>
      <ns0:c r="I77" s="8" t="str"/>
    </ns0:row>
    <ns0:row r="78" ht="82" customHeight="1">
      <ns0:c r="A78" s="8" t="n">
        <ns0:v>72</ns0:v>
      </ns0:c>
      <ns0:c r="B78" s="8" t="str">
        <ns0:v>Molecules and Light</ns0:v>
      </ns0:c>
      <ns0:c r="C78" s="8" t="str">
        <ns0:v>Modern Physics</ns0:v>
      </ns0:c>
      <ns0:c r="D78" s="8" t="str">
        <ns0:v>Experiments</ns0:v>
      </ns0:c>
      <ns0:c r="E78" s="8" t="str">
        <ns0:v>Tune photon wavelength through a molecular transition and measure selective absorption.</ns0:v>
      </ns0:c>
      <ns0:c r="F78" s="9" t="str">
        <ns0:f>HYPERLINK("https://physics.aimersociety.com/experiments/molecules-and-light","https://physics.aimersociety.com/experiments/molecules-and-light")</ns0:f>
        <ns0:v>https://physics.aimersociety.com/experiments/molecules-and-light</ns0:v>
      </ns0:c>
      <ns0:c r="G78" s="8" t="str">
        <ns0:v>/experiments/molecules-and-light</ns0:v>
      </ns0:c>
      <ns0:c r="H78" s="8" t="str">
        <ns0:v>src/lib/appDirectory.ts</ns0:v>
      </ns0:c>
      <ns0:c r="I78" s="8" t="str"/>
    </ns0:row>
    <ns0:row r="79" ht="82" customHeight="1">
      <ns0:c r="A79" s="8" t="n">
        <ns0:v>73</ns0:v>
      </ns0:c>
      <ns0:c r="B79" s="8" t="str">
        <ns0:v>Nuclear Decay and Half-Life</ns0:v>
      </ns0:c>
      <ns0:c r="C79" s="8" t="str">
        <ns0:v>Modern Physics</ns0:v>
      </ns0:c>
      <ns0:c r="D79" s="8" t="str">
        <ns0:v>Experiments</ns0:v>
      </ns0:c>
      <ns0:c r="E79" s="8" t="str">
        <ns0:v>Model exponential radioactive decay and remaining nuclei after multiple half-lives.</ns0:v>
      </ns0:c>
      <ns0:c r="F79" s="9" t="str">
        <ns0:f>HYPERLINK("https://physics.aimersociety.com/experiments/nuclear-decay","https://physics.aimersociety.com/experiments/nuclear-decay")</ns0:f>
        <ns0:v>https://physics.aimersociety.com/experiments/nuclear-decay</ns0:v>
      </ns0:c>
      <ns0:c r="G79" s="8" t="str">
        <ns0:v>/experiments/nuclear-decay</ns0:v>
      </ns0:c>
      <ns0:c r="H79" s="8" t="str">
        <ns0:v>src/lib/appDirectory.ts</ns0:v>
      </ns0:c>
      <ns0:c r="I79" s="8" t="str"/>
    </ns0:row>
    <ns0:row r="80" ht="82" customHeight="1">
      <ns0:c r="A80" s="8" t="n">
        <ns0:v>74</ns0:v>
      </ns0:c>
      <ns0:c r="B80" s="8" t="str">
        <ns0:v>Photoelectric Equation</ns0:v>
      </ns0:c>
      <ns0:c r="C80" s="8" t="str">
        <ns0:v>Modern Physics</ns0:v>
      </ns0:c>
      <ns0:c r="D80" s="8" t="str">
        <ns0:v>Experiments</ns0:v>
      </ns0:c>
      <ns0:c r="E80" s="8" t="str">
        <ns0:v>Use Einstein's photoelectric equation to compare photon energy, work function, and stopping potential.</ns0:v>
      </ns0:c>
      <ns0:c r="F80" s="9" t="str">
        <ns0:f>HYPERLINK("https://physics.aimersociety.com/experiments/photoelectric-equation","https://physics.aimersociety.com/experiments/photoelectric-equation")</ns0:f>
        <ns0:v>https://physics.aimersociety.com/experiments/photoelectric-equation</ns0:v>
      </ns0:c>
      <ns0:c r="G80" s="8" t="str">
        <ns0:v>/experiments/photoelectric-equation</ns0:v>
      </ns0:c>
      <ns0:c r="H80" s="8" t="str">
        <ns0:v>src/lib/appDirectory.ts</ns0:v>
      </ns0:c>
      <ns0:c r="I80" s="8" t="str"/>
    </ns0:row>
    <ns0:row r="81" ht="82" customHeight="1">
      <ns0:c r="A81" s="8" t="n">
        <ns0:v>75</ns0:v>
      </ns0:c>
      <ns0:c r="B81" s="8" t="str">
        <ns0:v>Rutherford Scattering</ns0:v>
      </ns0:c>
      <ns0:c r="C81" s="8" t="str">
        <ns0:v>Modern Physics</ns0:v>
      </ns0:c>
      <ns0:c r="D81" s="8" t="str">
        <ns0:v>Experiments</ns0:v>
      </ns0:c>
      <ns0:c r="E81" s="8" t="str">
        <ns0:v>Scatter alpha particles from a nucleus and connect rare large deflections to concentrated positive charge.</ns0:v>
      </ns0:c>
      <ns0:c r="F81" s="9" t="str">
        <ns0:f>HYPERLINK("https://physics.aimersociety.com/experiments/rutherford-scattering","https://physics.aimersociety.com/experiments/rutherford-scattering")</ns0:f>
        <ns0:v>https://physics.aimersociety.com/experiments/rutherford-scattering</ns0:v>
      </ns0:c>
      <ns0:c r="G81" s="8" t="str">
        <ns0:v>/experiments/rutherford-scattering</ns0:v>
      </ns0:c>
      <ns0:c r="H81" s="8" t="str">
        <ns0:v>src/lib/appDirectory.ts</ns0:v>
      </ns0:c>
      <ns0:c r="I81" s="8" t="str"/>
    </ns0:row>
    <ns0:row r="82" ht="82" customHeight="1">
      <ns0:c r="A82" s="8" t="n">
        <ns0:v>76</ns0:v>
      </ns0:c>
      <ns0:c r="B82" s="8" t="str">
        <ns0:v>Special Relativity Bridge</ns0:v>
      </ns0:c>
      <ns0:c r="C82" s="8" t="str">
        <ns0:v>Modern Physics</ns0:v>
      </ns0:c>
      <ns0:c r="D82" s="8" t="str">
        <ns0:v>Experiments</ns0:v>
      </ns0:c>
      <ns0:c r="E82" s="8" t="str">
        <ns0:v>Explore time dilation, length contraction, and relativistic energy using a light-clock and spacetime graph.</ns0:v>
      </ns0:c>
      <ns0:c r="F82" s="9" t="str">
        <ns0:f>HYPERLINK("https://physics.aimersociety.com/experiments/special-relativity-bridge","https://physics.aimersociety.com/experiments/special-relativity-bridge")</ns0:f>
        <ns0:v>https://physics.aimersociety.com/experiments/special-relativity-bridge</ns0:v>
      </ns0:c>
      <ns0:c r="G82" s="8" t="str">
        <ns0:v>/experiments/special-relativity-bridge</ns0:v>
      </ns0:c>
      <ns0:c r="H82" s="8" t="str">
        <ns0:v>src/lib/appDirectory.ts</ns0:v>
      </ns0:c>
      <ns0:c r="I82" s="8" t="str"/>
    </ns0:row>
    <ns0:row r="83" ht="82" customHeight="1">
      <ns0:c r="A83" s="8" t="n">
        <ns0:v>77</ns0:v>
      </ns0:c>
      <ns0:c r="B83" s="8" t="str">
        <ns0:v>Color Vision</ns0:v>
      </ns0:c>
      <ns0:c r="C83" s="8" t="str">
        <ns0:v>Optics</ns0:v>
      </ns0:c>
      <ns0:c r="D83" s="8" t="str">
        <ns0:v>Experiments</ns0:v>
      </ns0:c>
      <ns0:c r="E83" s="8" t="str">
        <ns0:v>Mix red, green, and blue light and connect additive colour to cone responses.</ns0:v>
      </ns0:c>
      <ns0:c r="F83" s="9" t="str">
        <ns0:f>HYPERLINK("https://physics.aimersociety.com/experiments/color-vision","https://physics.aimersociety.com/experiments/color-vision")</ns0:f>
        <ns0:v>https://physics.aimersociety.com/experiments/color-vision</ns0:v>
      </ns0:c>
      <ns0:c r="G83" s="8" t="str">
        <ns0:v>/experiments/color-vision</ns0:v>
      </ns0:c>
      <ns0:c r="H83" s="8" t="str">
        <ns0:v>src/lib/appDirectory.ts</ns0:v>
      </ns0:c>
      <ns0:c r="I83" s="8" t="str"/>
    </ns0:row>
    <ns0:row r="84" ht="82" customHeight="1">
      <ns0:c r="A84" s="8" t="n">
        <ns0:v>78</ns0:v>
      </ns0:c>
      <ns0:c r="B84" s="8" t="str">
        <ns0:v>Glass Slab Refraction</ns0:v>
      </ns0:c>
      <ns0:c r="C84" s="8" t="str">
        <ns0:v>Optics</ns0:v>
      </ns0:c>
      <ns0:c r="D84" s="8" t="str">
        <ns0:v>Experiments</ns0:v>
      </ns0:c>
      <ns0:c r="E84" s="8" t="str">
        <ns0:v>Trace refraction through a rectangular glass slab and calculate refraction angle.</ns0:v>
      </ns0:c>
      <ns0:c r="F84" s="9" t="str">
        <ns0:f>HYPERLINK("https://physics.aimersociety.com/experiments/glass-slab-refraction","https://physics.aimersociety.com/experiments/glass-slab-refraction")</ns0:f>
        <ns0:v>https://physics.aimersociety.com/experiments/glass-slab-refraction</ns0:v>
      </ns0:c>
      <ns0:c r="G84" s="8" t="str">
        <ns0:v>/experiments/glass-slab-refraction</ns0:v>
      </ns0:c>
      <ns0:c r="H84" s="8" t="str">
        <ns0:v>src/lib/appDirectory.ts</ns0:v>
      </ns0:c>
      <ns0:c r="I84" s="8" t="str"/>
    </ns0:row>
    <ns0:row r="85" ht="82" customHeight="1">
      <ns0:c r="A85" s="8" t="n">
        <ns0:v>79</ns0:v>
      </ns0:c>
      <ns0:c r="B85" s="8" t="str">
        <ns0:v>Human Eye and Vision Defects</ns0:v>
      </ns0:c>
      <ns0:c r="C85" s="8" t="str">
        <ns0:v>Optics</ns0:v>
      </ns0:c>
      <ns0:c r="D85" s="8" t="str">
        <ns0:v>Experiments</ns0:v>
      </ns0:c>
      <ns0:c r="E85" s="8" t="str">
        <ns0:v>Model image formation on the retina and correction of myopia and hypermetropia.</ns0:v>
      </ns0:c>
      <ns0:c r="F85" s="9" t="str">
        <ns0:f>HYPERLINK("https://physics.aimersociety.com/experiments/human-eye-defects","https://physics.aimersociety.com/experiments/human-eye-defects")</ns0:f>
        <ns0:v>https://physics.aimersociety.com/experiments/human-eye-defects</ns0:v>
      </ns0:c>
      <ns0:c r="G85" s="8" t="str">
        <ns0:v>/experiments/human-eye-defects</ns0:v>
      </ns0:c>
      <ns0:c r="H85" s="8" t="str">
        <ns0:v>src/lib/appDirectory.ts</ns0:v>
      </ns0:c>
      <ns0:c r="I85" s="8" t="str"/>
    </ns0:row>
    <ns0:row r="86" ht="82" customHeight="1">
      <ns0:c r="A86" s="8" t="n">
        <ns0:v>80</ns0:v>
      </ns0:c>
      <ns0:c r="B86" s="8" t="str">
        <ns0:v>Lens Formula</ns0:v>
      </ns0:c>
      <ns0:c r="C86" s="8" t="str">
        <ns0:v>Optics</ns0:v>
      </ns0:c>
      <ns0:c r="D86" s="8" t="str">
        <ns0:v>Experiments</ns0:v>
      </ns0:c>
      <ns0:c r="E86" s="8" t="str">
        <ns0:v>Calculate image distance and magnification for a convex lens.</ns0:v>
      </ns0:c>
      <ns0:c r="F86" s="9" t="str">
        <ns0:f>HYPERLINK("https://physics.aimersociety.com/experiments/lens-formula","https://physics.aimersociety.com/experiments/lens-formula")</ns0:f>
        <ns0:v>https://physics.aimersociety.com/experiments/lens-formula</ns0:v>
      </ns0:c>
      <ns0:c r="G86" s="8" t="str">
        <ns0:v>/experiments/lens-formula</ns0:v>
      </ns0:c>
      <ns0:c r="H86" s="8" t="str">
        <ns0:v>src/lib/appDirectory.ts</ns0:v>
      </ns0:c>
      <ns0:c r="I86" s="8" t="str"/>
    </ns0:row>
    <ns0:row r="87" ht="82" customHeight="1">
      <ns0:c r="A87" s="8" t="n">
        <ns0:v>81</ns0:v>
      </ns0:c>
      <ns0:c r="B87" s="8" t="str">
        <ns0:v>Microscope and Telescope</ns0:v>
      </ns0:c>
      <ns0:c r="C87" s="8" t="str">
        <ns0:v>Optics</ns0:v>
      </ns0:c>
      <ns0:c r="D87" s="8" t="str">
        <ns0:v>Experiments</ns0:v>
      </ns0:c>
      <ns0:c r="E87" s="8" t="str">
        <ns0:v>Compare magnification of a compound microscope and an astronomical telescope.</ns0:v>
      </ns0:c>
      <ns0:c r="F87" s="9" t="str">
        <ns0:f>HYPERLINK("https://physics.aimersociety.com/experiments/optical-instruments","https://physics.aimersociety.com/experiments/optical-instruments")</ns0:f>
        <ns0:v>https://physics.aimersociety.com/experiments/optical-instruments</ns0:v>
      </ns0:c>
      <ns0:c r="G87" s="8" t="str">
        <ns0:v>/experiments/optical-instruments</ns0:v>
      </ns0:c>
      <ns0:c r="H87" s="8" t="str">
        <ns0:v>src/lib/appDirectory.ts</ns0:v>
      </ns0:c>
      <ns0:c r="I87" s="8" t="str"/>
    </ns0:row>
    <ns0:row r="88" ht="82" customHeight="1">
      <ns0:c r="A88" s="8" t="n">
        <ns0:v>82</ns0:v>
      </ns0:c>
      <ns0:c r="B88" s="8" t="str">
        <ns0:v>Mirror Formula</ns0:v>
      </ns0:c>
      <ns0:c r="C88" s="8" t="str">
        <ns0:v>Optics</ns0:v>
      </ns0:c>
      <ns0:c r="D88" s="8" t="str">
        <ns0:v>Experiments</ns0:v>
      </ns0:c>
      <ns0:c r="E88" s="8" t="str">
        <ns0:v>Use the mirror formula to calculate image distance and magnification for a concave mirror.</ns0:v>
      </ns0:c>
      <ns0:c r="F88" s="9" t="str">
        <ns0:f>HYPERLINK("https://physics.aimersociety.com/experiments/mirror-formula","https://physics.aimersociety.com/experiments/mirror-formula")</ns0:f>
        <ns0:v>https://physics.aimersociety.com/experiments/mirror-formula</ns0:v>
      </ns0:c>
      <ns0:c r="G88" s="8" t="str">
        <ns0:v>/experiments/mirror-formula</ns0:v>
      </ns0:c>
      <ns0:c r="H88" s="8" t="str">
        <ns0:v>src/lib/appDirectory.ts</ns0:v>
      </ns0:c>
      <ns0:c r="I88" s="8" t="str"/>
    </ns0:row>
    <ns0:row r="89" ht="82" customHeight="1">
      <ns0:c r="A89" s="8" t="n">
        <ns0:v>83</ns0:v>
      </ns0:c>
      <ns0:c r="B89" s="8" t="str">
        <ns0:v>Multiple Reflection and Kaleidoscope</ns0:v>
      </ns0:c>
      <ns0:c r="C89" s="8" t="str">
        <ns0:v>Optics</ns0:v>
      </ns0:c>
      <ns0:c r="D89" s="8" t="str">
        <ns0:v>Experiments</ns0:v>
      </ns0:c>
      <ns0:c r="E89" s="8" t="str">
        <ns0:v>Predict number of images formed by two plane mirrors at different angles.</ns0:v>
      </ns0:c>
      <ns0:c r="F89" s="9" t="str">
        <ns0:f>HYPERLINK("https://physics.aimersociety.com/experiments/multiple-reflection","https://physics.aimersociety.com/experiments/multiple-reflection")</ns0:f>
        <ns0:v>https://physics.aimersociety.com/experiments/multiple-reflection</ns0:v>
      </ns0:c>
      <ns0:c r="G89" s="8" t="str">
        <ns0:v>/experiments/multiple-reflection</ns0:v>
      </ns0:c>
      <ns0:c r="H89" s="8" t="str">
        <ns0:v>src/lib/appDirectory.ts</ns0:v>
      </ns0:c>
      <ns0:c r="I89" s="8" t="str"/>
    </ns0:row>
    <ns0:row r="90" ht="82" customHeight="1">
      <ns0:c r="A90" s="8" t="n">
        <ns0:v>84</ns0:v>
      </ns0:c>
      <ns0:c r="B90" s="8" t="str">
        <ns0:v>Prism Dispersion</ns0:v>
      </ns0:c>
      <ns0:c r="C90" s="8" t="str">
        <ns0:v>Optics</ns0:v>
      </ns0:c>
      <ns0:c r="D90" s="8" t="str">
        <ns0:v>Experiments</ns0:v>
      </ns0:c>
      <ns0:c r="E90" s="8" t="str">
        <ns0:v>Trace incident, refracted, and emergent rays through a prism, then compare deviation, minimum deviation, and colour dispersion.</ns0:v>
      </ns0:c>
      <ns0:c r="F90" s="9" t="str">
        <ns0:f>HYPERLINK("https://physics.aimersociety.com/experiments/prism-dispersion","https://physics.aimersociety.com/experiments/prism-dispersion")</ns0:f>
        <ns0:v>https://physics.aimersociety.com/experiments/prism-dispersion</ns0:v>
      </ns0:c>
      <ns0:c r="G90" s="8" t="str">
        <ns0:v>/experiments/prism-dispersion</ns0:v>
      </ns0:c>
      <ns0:c r="H90" s="8" t="str">
        <ns0:v>src/lib/appDirectory.ts</ns0:v>
      </ns0:c>
      <ns0:c r="I90" s="8" t="str"/>
    </ns0:row>
    <ns0:row r="91" ht="82" customHeight="1">
      <ns0:c r="A91" s="8" t="n">
        <ns0:v>85</ns0:v>
      </ns0:c>
      <ns0:c r="B91" s="8" t="str">
        <ns0:v>Reflection by Plane Mirror</ns0:v>
      </ns0:c>
      <ns0:c r="C91" s="8" t="str">
        <ns0:v>Optics</ns0:v>
      </ns0:c>
      <ns0:c r="D91" s="8" t="str">
        <ns0:v>Experiments</ns0:v>
      </ns0:c>
      <ns0:c r="E91" s="8" t="str">
        <ns0:v>Trace incident and reflected rays and verify the law of reflection.</ns0:v>
      </ns0:c>
      <ns0:c r="F91" s="9" t="str">
        <ns0:f>HYPERLINK("https://physics.aimersociety.com/experiments/reflection-plane-mirror","https://physics.aimersociety.com/experiments/reflection-plane-mirror")</ns0:f>
        <ns0:v>https://physics.aimersociety.com/experiments/reflection-plane-mirror</ns0:v>
      </ns0:c>
      <ns0:c r="G91" s="8" t="str">
        <ns0:v>/experiments/reflection-plane-mirror</ns0:v>
      </ns0:c>
      <ns0:c r="H91" s="8" t="str">
        <ns0:v>src/lib/appDirectory.ts</ns0:v>
      </ns0:c>
      <ns0:c r="I91" s="8" t="str"/>
    </ns0:row>
    <ns0:row r="92" ht="82" customHeight="1">
      <ns0:c r="A92" s="8" t="n">
        <ns0:v>86</ns0:v>
      </ns0:c>
      <ns0:c r="B92" s="8" t="str">
        <ns0:v>Total Internal Reflection</ns0:v>
      </ns0:c>
      <ns0:c r="C92" s="8" t="str">
        <ns0:v>Optics</ns0:v>
      </ns0:c>
      <ns0:c r="D92" s="8" t="str">
        <ns0:v>Experiments</ns0:v>
      </ns0:c>
      <ns0:c r="E92" s="8" t="str">
        <ns0:v>Find critical angle and show when light reflects completely inside a denser medium.</ns0:v>
      </ns0:c>
      <ns0:c r="F92" s="9" t="str">
        <ns0:f>HYPERLINK("https://physics.aimersociety.com/experiments/total-internal-reflection","https://physics.aimersociety.com/experiments/total-internal-reflection")</ns0:f>
        <ns0:v>https://physics.aimersociety.com/experiments/total-internal-reflection</ns0:v>
      </ns0:c>
      <ns0:c r="G92" s="8" t="str">
        <ns0:v>/experiments/total-internal-reflection</ns0:v>
      </ns0:c>
      <ns0:c r="H92" s="8" t="str">
        <ns0:v>src/lib/appDirectory.ts</ns0:v>
      </ns0:c>
      <ns0:c r="I92" s="8" t="str"/>
    </ns0:row>
    <ns0:row r="93" ht="82" customHeight="1">
      <ns0:c r="A93" s="8" t="n">
        <ns0:v>87</ns0:v>
      </ns0:c>
      <ns0:c r="B93" s="8" t="str">
        <ns0:v>Chaotic and Coupled Oscillators</ns0:v>
      </ns0:c>
      <ns0:c r="C93" s="8" t="str">
        <ns0:v>Oscillations</ns0:v>
      </ns0:c>
      <ns0:c r="D93" s="8" t="str">
        <ns0:v>Experiments</ns0:v>
      </ns0:c>
      <ns0:c r="E93" s="8" t="str">
        <ns0:v>Compare a simple oscillator with a double-pendulum style coupled oscillator and identify the start of chaotic motion.</ns0:v>
      </ns0:c>
      <ns0:c r="F93" s="9" t="str">
        <ns0:f>HYPERLINK("https://physics.aimersociety.com/experiments/chaotic-coupled-oscillators","https://physics.aimersociety.com/experiments/chaotic-coupled-oscillators")</ns0:f>
        <ns0:v>https://physics.aimersociety.com/experiments/chaotic-coupled-oscillators</ns0:v>
      </ns0:c>
      <ns0:c r="G93" s="8" t="str">
        <ns0:v>/experiments/chaotic-coupled-oscillators</ns0:v>
      </ns0:c>
      <ns0:c r="H93" s="8" t="str">
        <ns0:v>src/lib/appDirectory.ts</ns0:v>
      </ns0:c>
      <ns0:c r="I93" s="8" t="str"/>
    </ns0:row>
    <ns0:row r="94" ht="82" customHeight="1">
      <ns0:c r="A94" s="8" t="n">
        <ns0:v>88</ns0:v>
      </ns0:c>
      <ns0:c r="B94" s="8" t="str">
        <ns0:v>Blackbody Spectrum</ns0:v>
      </ns0:c>
      <ns0:c r="C94" s="8" t="str">
        <ns0:v>Thermodynamics</ns0:v>
      </ns0:c>
      <ns0:c r="D94" s="8" t="str">
        <ns0:v>Experiments</ns0:v>
      </ns0:c>
      <ns0:c r="E94" s="8" t="str">
        <ns0:v>Relate an ideal emitter's temperature to its spectral peak and total radiant power.</ns0:v>
      </ns0:c>
      <ns0:c r="F94" s="9" t="str">
        <ns0:f>HYPERLINK("https://physics.aimersociety.com/experiments/blackbody-spectrum","https://physics.aimersociety.com/experiments/blackbody-spectrum")</ns0:f>
        <ns0:v>https://physics.aimersociety.com/experiments/blackbody-spectrum</ns0:v>
      </ns0:c>
      <ns0:c r="G94" s="8" t="str">
        <ns0:v>/experiments/blackbody-spectrum</ns0:v>
      </ns0:c>
      <ns0:c r="H94" s="8" t="str">
        <ns0:v>src/lib/appDirectory.ts</ns0:v>
      </ns0:c>
      <ns0:c r="I94" s="8" t="str"/>
    </ns0:row>
    <ns0:row r="95" ht="82" customHeight="1">
      <ns0:c r="A95" s="8" t="n">
        <ns0:v>89</ns0:v>
      </ns0:c>
      <ns0:c r="B95" s="8" t="str">
        <ns0:v>Calorimetry Mixing Lab</ns0:v>
      </ns0:c>
      <ns0:c r="C95" s="8" t="str">
        <ns0:v>Thermodynamics</ns0:v>
      </ns0:c>
      <ns0:c r="D95" s="8" t="str">
        <ns0:v>Experiments</ns0:v>
      </ns0:c>
      <ns0:c r="E95" s="8" t="str">
        <ns0:v>Mix hot and cold water samples and predict the final equilibrium temperature.</ns0:v>
      </ns0:c>
      <ns0:c r="F95" s="9" t="str">
        <ns0:f>HYPERLINK("https://physics.aimersociety.com/experiments/calorimetry-mixing","https://physics.aimersociety.com/experiments/calorimetry-mixing")</ns0:f>
        <ns0:v>https://physics.aimersociety.com/experiments/calorimetry-mixing</ns0:v>
      </ns0:c>
      <ns0:c r="G95" s="8" t="str">
        <ns0:v>/experiments/calorimetry-mixing</ns0:v>
      </ns0:c>
      <ns0:c r="H95" s="8" t="str">
        <ns0:v>src/lib/appDirectory.ts</ns0:v>
      </ns0:c>
      <ns0:c r="I95" s="8" t="str"/>
    </ns0:row>
    <ns0:row r="96" ht="82" customHeight="1">
      <ns0:c r="A96" s="8" t="n">
        <ns0:v>90</ns0:v>
      </ns0:c>
      <ns0:c r="B96" s="8" t="str">
        <ns0:v>Diffusion</ns0:v>
      </ns0:c>
      <ns0:c r="C96" s="8" t="str">
        <ns0:v>Thermodynamics</ns0:v>
      </ns0:c>
      <ns0:c r="D96" s="8" t="str">
        <ns0:v>Experiments</ns0:v>
      </ns0:c>
      <ns0:c r="E96" s="8" t="str">
        <ns0:v>Observe random particle motion producing a predictable ensemble spread.</ns0:v>
      </ns0:c>
      <ns0:c r="F96" s="9" t="str">
        <ns0:f>HYPERLINK("https://physics.aimersociety.com/experiments/diffusion","https://physics.aimersociety.com/experiments/diffusion")</ns0:f>
        <ns0:v>https://physics.aimersociety.com/experiments/diffusion</ns0:v>
      </ns0:c>
      <ns0:c r="G96" s="8" t="str">
        <ns0:v>/experiments/diffusion</ns0:v>
      </ns0:c>
      <ns0:c r="H96" s="8" t="str">
        <ns0:v>src/lib/appDirectory.ts</ns0:v>
      </ns0:c>
      <ns0:c r="I96" s="8" t="str"/>
    </ns0:row>
    <ns0:row r="97" ht="82" customHeight="1">
      <ns0:c r="A97" s="8" t="n">
        <ns0:v>91</ns0:v>
      </ns0:c>
      <ns0:c r="B97" s="8" t="str">
        <ns0:v>Gas Laws and Kinetic Theory</ns0:v>
      </ns0:c>
      <ns0:c r="C97" s="8" t="str">
        <ns0:v>Thermodynamics</ns0:v>
      </ns0:c>
      <ns0:c r="D97" s="8" t="str">
        <ns0:v>Experiments</ns0:v>
      </ns0:c>
      <ns0:c r="E97" s="8" t="str">
        <ns0:v>Use the ideal gas law to connect pressure, volume, temperature, and amount of gas.</ns0:v>
      </ns0:c>
      <ns0:c r="F97" s="9" t="str">
        <ns0:f>HYPERLINK("https://physics.aimersociety.com/experiments/gas-laws","https://physics.aimersociety.com/experiments/gas-laws")</ns0:f>
        <ns0:v>https://physics.aimersociety.com/experiments/gas-laws</ns0:v>
      </ns0:c>
      <ns0:c r="G97" s="8" t="str">
        <ns0:v>/experiments/gas-laws</ns0:v>
      </ns0:c>
      <ns0:c r="H97" s="8" t="str">
        <ns0:v>src/lib/appDirectory.ts</ns0:v>
      </ns0:c>
      <ns0:c r="I97" s="8" t="str"/>
    </ns0:row>
    <ns0:row r="98" ht="82" customHeight="1">
      <ns0:c r="A98" s="8" t="n">
        <ns0:v>92</ns0:v>
      </ns0:c>
      <ns0:c r="B98" s="8" t="str">
        <ns0:v>Greenhouse Effect</ns0:v>
      </ns0:c>
      <ns0:c r="C98" s="8" t="str">
        <ns0:v>Thermodynamics</ns0:v>
      </ns0:c>
      <ns0:c r="D98" s="8" t="str">
        <ns0:v>Experiments</ns0:v>
      </ns0:c>
      <ns0:c r="E98" s="8" t="str">
        <ns0:v>Use a planetary energy-balance model to separate albedo from infrared absorption.</ns0:v>
      </ns0:c>
      <ns0:c r="F98" s="9" t="str">
        <ns0:f>HYPERLINK("https://physics.aimersociety.com/experiments/greenhouse-effect","https://physics.aimersociety.com/experiments/greenhouse-effect")</ns0:f>
        <ns0:v>https://physics.aimersociety.com/experiments/greenhouse-effect</ns0:v>
      </ns0:c>
      <ns0:c r="G98" s="8" t="str">
        <ns0:v>/experiments/greenhouse-effect</ns0:v>
      </ns0:c>
      <ns0:c r="H98" s="8" t="str">
        <ns0:v>src/lib/appDirectory.ts</ns0:v>
      </ns0:c>
      <ns0:c r="I98" s="8" t="str"/>
    </ns0:row>
    <ns0:row r="99" ht="82" customHeight="1">
      <ns0:c r="A99" s="8" t="n">
        <ns0:v>93</ns0:v>
      </ns0:c>
      <ns0:c r="B99" s="8" t="str">
        <ns0:v>Heat and Temperature</ns0:v>
      </ns0:c>
      <ns0:c r="C99" s="8" t="str">
        <ns0:v>Thermodynamics</ns0:v>
      </ns0:c>
      <ns0:c r="D99" s="8" t="str">
        <ns0:v>Experiments</ns0:v>
      </ns0:c>
      <ns0:c r="E99" s="8" t="str">
        <ns0:v>Compare temperature scales and estimate heat needed to change the temperature of a body.</ns0:v>
      </ns0:c>
      <ns0:c r="F99" s="9" t="str">
        <ns0:f>HYPERLINK("https://physics.aimersociety.com/experiments/heat-and-temperature","https://physics.aimersociety.com/experiments/heat-and-temperature")</ns0:f>
        <ns0:v>https://physics.aimersociety.com/experiments/heat-and-temperature</ns0:v>
      </ns0:c>
      <ns0:c r="G99" s="8" t="str">
        <ns0:v>/experiments/heat-and-temperature</ns0:v>
      </ns0:c>
      <ns0:c r="H99" s="8" t="str">
        <ns0:v>src/lib/appDirectory.ts</ns0:v>
      </ns0:c>
      <ns0:c r="I99" s="8" t="str"/>
    </ns0:row>
    <ns0:row r="100" ht="82" customHeight="1">
      <ns0:c r="A100" s="8" t="n">
        <ns0:v>94</ns0:v>
      </ns0:c>
      <ns0:c r="B100" s="8" t="str">
        <ns0:v>Heat Transfer</ns0:v>
      </ns0:c>
      <ns0:c r="C100" s="8" t="str">
        <ns0:v>Thermodynamics</ns0:v>
      </ns0:c>
      <ns0:c r="D100" s="8" t="str">
        <ns0:v>Experiments</ns0:v>
      </ns0:c>
      <ns0:c r="E100" s="8" t="str">
        <ns0:v>Visualize conduction and estimate heat flow through materials of different thickness.</ns0:v>
      </ns0:c>
      <ns0:c r="F100" s="9" t="str">
        <ns0:f>HYPERLINK("https://physics.aimersociety.com/experiments/heat-transfer","https://physics.aimersociety.com/experiments/heat-transfer")</ns0:f>
        <ns0:v>https://physics.aimersociety.com/experiments/heat-transfer</ns0:v>
      </ns0:c>
      <ns0:c r="G100" s="8" t="str">
        <ns0:v>/experiments/heat-transfer</ns0:v>
      </ns0:c>
      <ns0:c r="H100" s="8" t="str">
        <ns0:v>src/lib/appDirectory.ts</ns0:v>
      </ns0:c>
      <ns0:c r="I100" s="8" t="str"/>
    </ns0:row>
    <ns0:row r="101" ht="82" customHeight="1">
      <ns0:c r="A101" s="8" t="n">
        <ns0:v>95</ns0:v>
      </ns0:c>
      <ns0:c r="B101" s="8" t="str">
        <ns0:v>States of Matter</ns0:v>
      </ns0:c>
      <ns0:c r="C101" s="8" t="str">
        <ns0:v>Thermodynamics</ns0:v>
      </ns0:c>
      <ns0:c r="D101" s="8" t="str">
        <ns0:v>Experiments</ns0:v>
      </ns0:c>
      <ns0:c r="E101" s="8" t="str">
        <ns0:v>Connect particle motion and attraction to solid, liquid, and gas behaviour.</ns0:v>
      </ns0:c>
      <ns0:c r="F101" s="9" t="str">
        <ns0:f>HYPERLINK("https://physics.aimersociety.com/experiments/states-of-matter","https://physics.aimersociety.com/experiments/states-of-matter")</ns0:f>
        <ns0:v>https://physics.aimersociety.com/experiments/states-of-matter</ns0:v>
      </ns0:c>
      <ns0:c r="G101" s="8" t="str">
        <ns0:v>/experiments/states-of-matter</ns0:v>
      </ns0:c>
      <ns0:c r="H101" s="8" t="str">
        <ns0:v>src/lib/appDirectory.ts</ns0:v>
      </ns0:c>
      <ns0:c r="I101" s="8" t="str"/>
    </ns0:row>
    <ns0:row r="102" ht="82" customHeight="1">
      <ns0:c r="A102" s="8" t="n">
        <ns0:v>96</ns0:v>
      </ns0:c>
      <ns0:c r="B102" s="8" t="str">
        <ns0:v>Statistical Ensemble Lab</ns0:v>
      </ns0:c>
      <ns0:c r="C102" s="8" t="str">
        <ns0:v>Thermodynamics</ns0:v>
      </ns0:c>
      <ns0:c r="D102" s="8" t="str">
        <ns0:v>Experiments</ns0:v>
      </ns0:c>
      <ns0:c r="E102" s="8" t="str">
        <ns0:v>Compare microstates, ensemble averages, phase tendency, and transport response without long derivations.</ns0:v>
      </ns0:c>
      <ns0:c r="F102" s="9" t="str">
        <ns0:f>HYPERLINK("https://physics.aimersociety.com/experiments/statistical-ensemble-lab","https://physics.aimersociety.com/experiments/statistical-ensemble-lab")</ns0:f>
        <ns0:v>https://physics.aimersociety.com/experiments/statistical-ensemble-lab</ns0:v>
      </ns0:c>
      <ns0:c r="G102" s="8" t="str">
        <ns0:v>/experiments/statistical-ensemble-lab</ns0:v>
      </ns0:c>
      <ns0:c r="H102" s="8" t="str">
        <ns0:v>src/lib/appDirectory.ts</ns0:v>
      </ns0:c>
      <ns0:c r="I102" s="8" t="str"/>
    </ns0:row>
    <ns0:row r="103" ht="82" customHeight="1">
      <ns0:c r="A103" s="8" t="n">
        <ns0:v>97</ns0:v>
      </ns0:c>
      <ns0:c r="B103" s="8" t="str">
        <ns0:v>Thermodynamic Processes</ns0:v>
      </ns0:c>
      <ns0:c r="C103" s="8" t="str">
        <ns0:v>Thermodynamics</ns0:v>
      </ns0:c>
      <ns0:c r="D103" s="8" t="str">
        <ns0:v>Experiments</ns0:v>
      </ns0:c>
      <ns0:c r="E103" s="8" t="str">
        <ns0:v>Compare isothermal, isobaric, and isochoric process work and heat trends.</ns0:v>
      </ns0:c>
      <ns0:c r="F103" s="9" t="str">
        <ns0:f>HYPERLINK("https://physics.aimersociety.com/experiments/thermodynamic-process","https://physics.aimersociety.com/experiments/thermodynamic-process")</ns0:f>
        <ns0:v>https://physics.aimersociety.com/experiments/thermodynamic-process</ns0:v>
      </ns0:c>
      <ns0:c r="G103" s="8" t="str">
        <ns0:v>/experiments/thermodynamic-process</ns0:v>
      </ns0:c>
      <ns0:c r="H103" s="8" t="str">
        <ns0:v>src/lib/appDirectory.ts</ns0:v>
      </ns0:c>
      <ns0:c r="I103" s="8" t="str"/>
    </ns0:row>
    <ns0:row r="104" ht="82" customHeight="1">
      <ns0:c r="A104" s="8" t="n">
        <ns0:v>98</ns0:v>
      </ns0:c>
      <ns0:c r="B104" s="8" t="str">
        <ns0:v>Chladni Plate</ns0:v>
      </ns0:c>
      <ns0:c r="C104" s="8" t="str">
        <ns0:v>Waves</ns0:v>
      </ns0:c>
      <ns0:c r="D104" s="8" t="str">
        <ns0:v>Experiments</ns0:v>
      </ns0:c>
      <ns0:c r="E104" s="8" t="str">
        <ns0:v>Visualize standing-wave nodal patterns on a vibrating plate.</ns0:v>
      </ns0:c>
      <ns0:c r="F104" s="9" t="str">
        <ns0:f>HYPERLINK("https://physics.aimersociety.com/experiments/chladni-plate","https://physics.aimersociety.com/experiments/chladni-plate")</ns0:f>
        <ns0:v>https://physics.aimersociety.com/experiments/chladni-plate</ns0:v>
      </ns0:c>
      <ns0:c r="G104" s="8" t="str">
        <ns0:v>/experiments/chladni-plate</ns0:v>
      </ns0:c>
      <ns0:c r="H104" s="8" t="str">
        <ns0:v>src/lib/appDirectory.ts</ns0:v>
      </ns0:c>
      <ns0:c r="I104" s="8" t="str"/>
    </ns0:row>
    <ns0:row r="105" ht="82" customHeight="1">
      <ns0:c r="A105" s="8" t="n">
        <ns0:v>99</ns0:v>
      </ns0:c>
      <ns0:c r="B105" s="8" t="str">
        <ns0:v>Echo and Speed of Sound</ns0:v>
      </ns0:c>
      <ns0:c r="C105" s="8" t="str">
        <ns0:v>Waves</ns0:v>
      </ns0:c>
      <ns0:c r="D105" s="8" t="str">
        <ns0:v>Experiments</ns0:v>
      </ns0:c>
      <ns0:c r="E105" s="8" t="str">
        <ns0:v>Use echo timing to estimate distance or sound speed.</ns0:v>
      </ns0:c>
      <ns0:c r="F105" s="9" t="str">
        <ns0:f>HYPERLINK("https://physics.aimersociety.com/experiments/echo-speed-sound","https://physics.aimersociety.com/experiments/echo-speed-sound")</ns0:f>
        <ns0:v>https://physics.aimersociety.com/experiments/echo-speed-sound</ns0:v>
      </ns0:c>
      <ns0:c r="G105" s="8" t="str">
        <ns0:v>/experiments/echo-speed-sound</ns0:v>
      </ns0:c>
      <ns0:c r="H105" s="8" t="str">
        <ns0:v>src/lib/appDirectory.ts</ns0:v>
      </ns0:c>
      <ns0:c r="I105" s="8" t="str"/>
    </ns0:row>
    <ns0:row r="106" ht="82" customHeight="1">
      <ns0:c r="A106" s="8" t="n">
        <ns0:v>100</ns0:v>
      </ns0:c>
      <ns0:c r="B106" s="8" t="str">
        <ns0:v>Electromagnetic Spectrum</ns0:v>
      </ns0:c>
      <ns0:c r="C106" s="8" t="str">
        <ns0:v>Waves</ns0:v>
      </ns0:c>
      <ns0:c r="D106" s="8" t="str">
        <ns0:v>Experiments</ns0:v>
      </ns0:c>
      <ns0:c r="E106" s="8" t="str">
        <ns0:v>Relate wavelength, frequency, energy, and common EM spectrum bands.</ns0:v>
      </ns0:c>
      <ns0:c r="F106" s="9" t="str">
        <ns0:f>HYPERLINK("https://physics.aimersociety.com/experiments/em-spectrum","https://physics.aimersociety.com/experiments/em-spectrum")</ns0:f>
        <ns0:v>https://physics.aimersociety.com/experiments/em-spectrum</ns0:v>
      </ns0:c>
      <ns0:c r="G106" s="8" t="str">
        <ns0:v>/experiments/em-spectrum</ns0:v>
      </ns0:c>
      <ns0:c r="H106" s="8" t="str">
        <ns0:v>src/lib/appDirectory.ts</ns0:v>
      </ns0:c>
      <ns0:c r="I106" s="8" t="str"/>
    </ns0:row>
    <ns0:row r="107" ht="82" customHeight="1">
      <ns0:c r="A107" s="8" t="n">
        <ns0:v>101</ns0:v>
      </ns0:c>
      <ns0:c r="B107" s="8" t="str">
        <ns0:v>Fourier: Making Waves</ns0:v>
      </ns0:c>
      <ns0:c r="C107" s="8" t="str">
        <ns0:v>Waves</ns0:v>
      </ns0:c>
      <ns0:c r="D107" s="8" t="str">
        <ns0:v>Experiments</ns0:v>
      </ns0:c>
      <ns0:c r="E107" s="8" t="str">
        <ns0:v>Synthesize a waveform from harmonics and identify its component frequencies.</ns0:v>
      </ns0:c>
      <ns0:c r="F107" s="9" t="str">
        <ns0:f>HYPERLINK("https://physics.aimersociety.com/experiments/fourier-making-waves","https://physics.aimersociety.com/experiments/fourier-making-waves")</ns0:f>
        <ns0:v>https://physics.aimersociety.com/experiments/fourier-making-waves</ns0:v>
      </ns0:c>
      <ns0:c r="G107" s="8" t="str">
        <ns0:v>/experiments/fourier-making-waves</ns0:v>
      </ns0:c>
      <ns0:c r="H107" s="8" t="str">
        <ns0:v>src/lib/appDirectory.ts</ns0:v>
      </ns0:c>
      <ns0:c r="I107" s="8" t="str"/>
    </ns0:row>
    <ns0:row r="108" ht="82" customHeight="1">
      <ns0:c r="A108" s="8" t="n">
        <ns0:v>102</ns0:v>
      </ns0:c>
      <ns0:c r="B108" s="8" t="str">
        <ns0:v>Longitudinal Sound Wave</ns0:v>
      </ns0:c>
      <ns0:c r="C108" s="8" t="str">
        <ns0:v>Waves</ns0:v>
      </ns0:c>
      <ns0:c r="D108" s="8" t="str">
        <ns0:v>Experiments</ns0:v>
      </ns0:c>
      <ns0:c r="E108" s="8" t="str">
        <ns0:v>Visualize compressions, rarefactions, wavelength, frequency, amplitude, and speed of sound.</ns0:v>
      </ns0:c>
      <ns0:c r="F108" s="9" t="str">
        <ns0:f>HYPERLINK("https://physics.aimersociety.com/experiments/sound-wave-anatomy","https://physics.aimersociety.com/experiments/sound-wave-anatomy")</ns0:f>
        <ns0:v>https://physics.aimersociety.com/experiments/sound-wave-anatomy</ns0:v>
      </ns0:c>
      <ns0:c r="G108" s="8" t="str">
        <ns0:v>/experiments/sound-wave-anatomy</ns0:v>
      </ns0:c>
      <ns0:c r="H108" s="8" t="str">
        <ns0:v>src/lib/appDirectory.ts</ns0:v>
      </ns0:c>
      <ns0:c r="I108" s="8" t="str"/>
    </ns0:row>
    <ns0:row r="109" ht="82" customHeight="1">
      <ns0:c r="A109" s="8" t="n">
        <ns0:v>103</ns0:v>
      </ns0:c>
      <ns0:c r="B109" s="8" t="str">
        <ns0:v>Polarization Lab</ns0:v>
      </ns0:c>
      <ns0:c r="C109" s="8" t="str">
        <ns0:v>Waves</ns0:v>
      </ns0:c>
      <ns0:c r="D109" s="8" t="str">
        <ns0:v>Experiments</ns0:v>
      </ns0:c>
      <ns0:c r="E109" s="8" t="str">
        <ns0:v>Use two polarizers to verify Malus' law for transmitted light intensity.</ns0:v>
      </ns0:c>
      <ns0:c r="F109" s="9" t="str">
        <ns0:f>HYPERLINK("https://physics.aimersociety.com/experiments/polarization-lab","https://physics.aimersociety.com/experiments/polarization-lab")</ns0:f>
        <ns0:v>https://physics.aimersociety.com/experiments/polarization-lab</ns0:v>
      </ns0:c>
      <ns0:c r="G109" s="8" t="str">
        <ns0:v>/experiments/polarization-lab</ns0:v>
      </ns0:c>
      <ns0:c r="H109" s="8" t="str">
        <ns0:v>src/lib/appDirectory.ts</ns0:v>
      </ns0:c>
      <ns0:c r="I109" s="8" t="str"/>
    </ns0:row>
    <ns0:row r="110" ht="82" customHeight="1">
      <ns0:c r="A110" s="8" t="n">
        <ns0:v>104</ns0:v>
      </ns0:c>
      <ns0:c r="B110" s="8" t="str">
        <ns0:v>Single Slit Diffraction</ns0:v>
      </ns0:c>
      <ns0:c r="C110" s="8" t="str">
        <ns0:v>Waves</ns0:v>
      </ns0:c>
      <ns0:c r="D110" s="8" t="str">
        <ns0:v>Experiments</ns0:v>
      </ns0:c>
      <ns0:c r="E110" s="8" t="str">
        <ns0:v>Observe diffraction through a single slit.</ns0:v>
      </ns0:c>
      <ns0:c r="F110" s="9" t="str">
        <ns0:f>HYPERLINK("https://physics.aimersociety.com/experiments/single-slit-diffraction","https://physics.aimersociety.com/experiments/single-slit-diffraction")</ns0:f>
        <ns0:v>https://physics.aimersociety.com/experiments/single-slit-diffraction</ns0:v>
      </ns0:c>
      <ns0:c r="G110" s="8" t="str">
        <ns0:v>/experiments/single-slit-diffraction</ns0:v>
      </ns0:c>
      <ns0:c r="H110" s="8" t="str">
        <ns0:v>src/lib/appDirectory.ts</ns0:v>
      </ns0:c>
      <ns0:c r="I110" s="8" t="str"/>
    </ns0:row>
    <ns0:row r="111" ht="82" customHeight="1">
      <ns0:c r="A111" s="8" t="n">
        <ns0:v>105</ns0:v>
      </ns0:c>
      <ns0:c r="B111" s="8" t="str">
        <ns0:v>Sound Pitch and Loudness</ns0:v>
      </ns0:c>
      <ns0:c r="C111" s="8" t="str">
        <ns0:v>Waves</ns0:v>
      </ns0:c>
      <ns0:c r="D111" s="8" t="str">
        <ns0:v>Experiments</ns0:v>
      </ns0:c>
      <ns0:c r="E111" s="8" t="str">
        <ns0:v>Relate frequency to pitch, amplitude to loudness, and wavelength to wave speed.</ns0:v>
      </ns0:c>
      <ns0:c r="F111" s="9" t="str">
        <ns0:f>HYPERLINK("https://physics.aimersociety.com/experiments/sound-pitch-loudness","https://physics.aimersociety.com/experiments/sound-pitch-loudness")</ns0:f>
        <ns0:v>https://physics.aimersociety.com/experiments/sound-pitch-loudness</ns0:v>
      </ns0:c>
      <ns0:c r="G111" s="8" t="str">
        <ns0:v>/experiments/sound-pitch-loudness</ns0:v>
      </ns0:c>
      <ns0:c r="H111" s="8" t="str">
        <ns0:v>src/lib/appDirectory.ts</ns0:v>
      </ns0:c>
      <ns0:c r="I111" s="8" t="str"/>
    </ns0:row>
    <ns0:row r="112" ht="82" customHeight="1">
      <ns0:c r="A112" s="8" t="n">
        <ns0:v>106</ns0:v>
      </ns0:c>
      <ns0:c r="B112" s="8" t="str">
        <ns0:v>Spring-Mass SHM</ns0:v>
      </ns0:c>
      <ns0:c r="C112" s="8" t="str">
        <ns0:v>Waves</ns0:v>
      </ns0:c>
      <ns0:c r="D112" s="8" t="str">
        <ns0:v>Experiments</ns0:v>
      </ns0:c>
      <ns0:c r="E112" s="8" t="str">
        <ns0:v>Study simple harmonic motion of a spring-mass oscillator.</ns0:v>
      </ns0:c>
      <ns0:c r="F112" s="9" t="str">
        <ns0:f>HYPERLINK("https://physics.aimersociety.com/experiments/shm-spring","https://physics.aimersociety.com/experiments/shm-spring")</ns0:f>
        <ns0:v>https://physics.aimersociety.com/experiments/shm-spring</ns0:v>
      </ns0:c>
      <ns0:c r="G112" s="8" t="str">
        <ns0:v>/experiments/shm-spring</ns0:v>
      </ns0:c>
      <ns0:c r="H112" s="8" t="str">
        <ns0:v>src/lib/appDirectory.ts</ns0:v>
      </ns0:c>
      <ns0:c r="I112" s="8" t="str"/>
    </ns0:row>
    <ns0:row r="113" ht="82" customHeight="1">
      <ns0:c r="A113" s="8" t="n">
        <ns0:v>107</ns0:v>
      </ns0:c>
      <ns0:c r="B113" s="8" t="str">
        <ns0:v>Wave Lab</ns0:v>
      </ns0:c>
      <ns0:c r="C113" s="8" t="str">
        <ns0:v>Waves</ns0:v>
      </ns0:c>
      <ns0:c r="D113" s="8" t="str">
        <ns0:v>Experiments</ns0:v>
      </ns0:c>
      <ns0:c r="E113" s="8" t="str">
        <ns0:v>Observe interference from two coherent point wave sources.</ns0:v>
      </ns0:c>
      <ns0:c r="F113" s="9" t="str">
        <ns0:f>HYPERLINK("https://physics.aimersociety.com/experiments/wave-lab","https://physics.aimersociety.com/experiments/wave-lab")</ns0:f>
        <ns0:v>https://physics.aimersociety.com/experiments/wave-lab</ns0:v>
      </ns0:c>
      <ns0:c r="G113" s="8" t="str">
        <ns0:v>/experiments/wave-lab</ns0:v>
      </ns0:c>
      <ns0:c r="H113" s="8" t="str">
        <ns0:v>src/lib/appDirectory.ts</ns0:v>
      </ns0:c>
      <ns0:c r="I113" s="8" t="str"/>
    </ns0:row>
    <ns0:row r="114" ht="82" customHeight="1">
      <ns0:c r="A114" s="8" t="n">
        <ns0:v>108</ns0:v>
      </ns0:c>
      <ns0:c r="B114" s="8" t="str">
        <ns0:v>Young's Double Slit</ns0:v>
      </ns0:c>
      <ns0:c r="C114" s="8" t="str">
        <ns0:v>Waves</ns0:v>
      </ns0:c>
      <ns0:c r="D114" s="8" t="str">
        <ns0:v>Experiments</ns0:v>
      </ns0:c>
      <ns0:c r="E114" s="8" t="str">
        <ns0:v>Measure fringe width in a two-slit interference pattern.</ns0:v>
      </ns0:c>
      <ns0:c r="F114" s="9" t="str">
        <ns0:f>HYPERLINK("https://physics.aimersociety.com/experiments/young-double-slit","https://physics.aimersociety.com/experiments/young-double-slit")</ns0:f>
        <ns0:v>https://physics.aimersociety.com/experiments/young-double-slit</ns0:v>
      </ns0:c>
      <ns0:c r="G114" s="8" t="str">
        <ns0:v>/experiments/young-double-slit</ns0:v>
      </ns0:c>
      <ns0:c r="H114" s="8" t="str">
        <ns0:v>src/lib/appDirectory.ts</ns0:v>
      </ns0:c>
      <ns0:c r="I114" s="8" t="str"/>
    </ns0:row>
    <ns0:row r="115" ht="82" customHeight="1">
      <ns0:c r="A115" s="8" t="n">
        <ns0:v>109</ns0:v>
      </ns0:c>
      <ns0:c r="B115" s="8" t="str">
        <ns0:v>Gravitation</ns0:v>
      </ns0:c>
      <ns0:c r="C115" s="8" t="str">
        <ns0:v>Astronomy</ns0:v>
      </ns0:c>
      <ns0:c r="D115" s="8" t="str">
        <ns0:v>Linked view</ns0:v>
      </ns0:c>
      <ns0:c r="E115" s="8" t="str">
        <ns0:v>Use Kepler's laws. Try it in Satellite Orbit and Escape Speed.</ns0:v>
      </ns0:c>
      <ns0:c r="F115" s="9" t="str">
        <ns0:f>HYPERLINK("https://physics.aimersociety.com/concepts?concept=c11-gravitation","https://physics.aimersociety.com/concepts?concept=c11-gravitation")</ns0:f>
        <ns0:v>https://physics.aimersociety.com/concepts?concept=c11-gravitation</ns0:v>
      </ns0:c>
      <ns0:c r="G115" s="8" t="str">
        <ns0:v>/concepts?concept=c11-gravitation</ns0:v>
      </ns0:c>
      <ns0:c r="H115" s="8" t="str">
        <ns0:v>src/lib/appDirectory.ts</ns0:v>
      </ns0:c>
      <ns0:c r="I115" s="8" t="str"/>
    </ns0:row>
    <ns0:row r="116" ht="82" customHeight="1">
      <ns0:c r="A116" s="8" t="n">
        <ns0:v>110</ns0:v>
      </ns0:c>
      <ns0:c r="B116" s="8" t="str">
        <ns0:v>High Energy and Cosmology</ns0:v>
      </ns0:c>
      <ns0:c r="C116" s="8" t="str">
        <ns0:v>Astronomy</ns0:v>
      </ns0:c>
      <ns0:c r="D116" s="8" t="str">
        <ns0:v>Linked view</ns0:v>
      </ns0:c>
      <ns0:c r="E116" s="8" t="str">
        <ns0:v>Track symmetry, detectors, spacetime, and early-universe models. Try it in Nuclear Decay and Half-Life.</ns0:v>
      </ns0:c>
      <ns0:c r="F116" s="9" t="str">
        <ns0:f>HYPERLINK("https://physics.aimersociety.com/concepts?concept=phd-high-energy","https://physics.aimersociety.com/concepts?concept=phd-high-energy")</ns0:f>
        <ns0:v>https://physics.aimersociety.com/concepts?concept=phd-high-energy</ns0:v>
      </ns0:c>
      <ns0:c r="G116" s="8" t="str">
        <ns0:v>/concepts?concept=phd-high-energy</ns0:v>
      </ns0:c>
      <ns0:c r="H116" s="8" t="str">
        <ns0:v>src/lib/appDirectory.ts</ns0:v>
      </ns0:c>
      <ns0:c r="I116" s="8" t="str"/>
    </ns0:row>
    <ns0:row r="117" ht="82" customHeight="1">
      <ns0:c r="A117" s="8" t="n">
        <ns0:v>111</ns0:v>
      </ns0:c>
      <ns0:c r="B117" s="8" t="str">
        <ns0:v>Plasma and Astrophysics</ns0:v>
      </ns0:c>
      <ns0:c r="C117" s="8" t="str">
        <ns0:v>Astronomy</ns0:v>
      </ns0:c>
      <ns0:c r="D117" s="8" t="str">
        <ns0:v>Linked view</ns0:v>
      </ns0:c>
      <ns0:c r="E117" s="8" t="str">
        <ns0:v>Link charged fluids, stars, compact objects, and cosmology. Try it in Satellite Orbit and Escape Speed.</ns0:v>
      </ns0:c>
      <ns0:c r="F117" s="9" t="str">
        <ns0:f>HYPERLINK("https://physics.aimersociety.com/concepts?concept=pg-plasma-astrophysics","https://physics.aimersociety.com/concepts?concept=pg-plasma-astrophysics")</ns0:f>
        <ns0:v>https://physics.aimersociety.com/concepts?concept=pg-plasma-astrophysics</ns0:v>
      </ns0:c>
      <ns0:c r="G117" s="8" t="str">
        <ns0:v>/concepts?concept=pg-plasma-astrophysics</ns0:v>
      </ns0:c>
      <ns0:c r="H117" s="8" t="str">
        <ns0:v>src/lib/appDirectory.ts</ns0:v>
      </ns0:c>
      <ns0:c r="I117" s="8" t="str"/>
    </ns0:row>
    <ns0:row r="118" ht="82" customHeight="1">
      <ns0:c r="A118" s="8" t="n">
        <ns0:v>112</ns0:v>
      </ns0:c>
      <ns0:c r="B118" s="8" t="str">
        <ns0:v>Chemical Effects of Current</ns0:v>
      </ns0:c>
      <ns0:c r="C118" s="8" t="str">
        <ns0:v>Electricity</ns0:v>
      </ns0:c>
      <ns0:c r="D118" s="8" t="str">
        <ns0:v>Linked view</ns0:v>
      </ns0:c>
      <ns0:c r="E118" s="8" t="str">
        <ns0:v>Classify conducting liquids. Try it in Chemical Effects of Current.</ns0:v>
      </ns0:c>
      <ns0:c r="F118" s="9" t="str">
        <ns0:f>HYPERLINK("https://physics.aimersociety.com/concepts?concept=c8-chemical-current","https://physics.aimersociety.com/concepts?concept=c8-chemical-current")</ns0:f>
        <ns0:v>https://physics.aimersociety.com/concepts?concept=c8-chemical-current</ns0:v>
      </ns0:c>
      <ns0:c r="G118" s="8" t="str">
        <ns0:v>/concepts?concept=c8-chemical-current</ns0:v>
      </ns0:c>
      <ns0:c r="H118" s="8" t="str">
        <ns0:v>src/lib/appDirectory.ts</ns0:v>
      </ns0:c>
      <ns0:c r="I118" s="8" t="str"/>
    </ns0:row>
    <ns0:row r="119" ht="82" customHeight="1">
      <ns0:c r="A119" s="8" t="n">
        <ns0:v>113</ns0:v>
      </ns0:c>
      <ns0:c r="B119" s="8" t="str">
        <ns0:v>Current Electricity</ns0:v>
      </ns0:c>
      <ns0:c r="C119" s="8" t="str">
        <ns0:v>Electricity</ns0:v>
      </ns0:c>
      <ns0:c r="D119" s="8" t="str">
        <ns0:v>Linked view</ns0:v>
      </ns0:c>
      <ns0:c r="E119" s="8" t="str">
        <ns0:v>Use Ohm's law, drift velocity, Kirchhoff rules, and bridge circuits. Try it in Ohm's Law V-I Graph.</ns0:v>
      </ns0:c>
      <ns0:c r="F119" s="9" t="str">
        <ns0:f>HYPERLINK("https://physics.aimersociety.com/concepts?concept=c12-current","https://physics.aimersociety.com/concepts?concept=c12-current")</ns0:f>
        <ns0:v>https://physics.aimersociety.com/concepts?concept=c12-current</ns0:v>
      </ns0:c>
      <ns0:c r="G119" s="8" t="str">
        <ns0:v>/concepts?concept=c12-current</ns0:v>
      </ns0:c>
      <ns0:c r="H119" s="8" t="str">
        <ns0:v>src/lib/appDirectory.ts</ns0:v>
      </ns0:c>
      <ns0:c r="I119" s="8" t="str"/>
    </ns0:row>
    <ns0:row r="120" ht="82" customHeight="1">
      <ns0:c r="A120" s="8" t="n">
        <ns0:v>114</ns0:v>
      </ns0:c>
      <ns0:c r="B120" s="8" t="str">
        <ns0:v>Electric Charges, Fields, Potential, and Capacitance</ns0:v>
      </ns0:c>
      <ns0:c r="C120" s="8" t="str">
        <ns0:v>Electricity</ns0:v>
      </ns0:c>
      <ns0:c r="D120" s="8" t="str">
        <ns0:v>Linked view</ns0:v>
      </ns0:c>
      <ns0:c r="E120" s="8" t="str">
        <ns0:v>Visualize electric fields and equipotentials. Try it in Static Electricity and Lightning.</ns0:v>
      </ns0:c>
      <ns0:c r="F120" s="9" t="str">
        <ns0:f>HYPERLINK("https://physics.aimersociety.com/concepts?concept=c12-electrostatics","https://physics.aimersociety.com/concepts?concept=c12-electrostatics")</ns0:f>
        <ns0:v>https://physics.aimersociety.com/concepts?concept=c12-electrostatics</ns0:v>
      </ns0:c>
      <ns0:c r="G120" s="8" t="str">
        <ns0:v>/concepts?concept=c12-electrostatics</ns0:v>
      </ns0:c>
      <ns0:c r="H120" s="8" t="str">
        <ns0:v>src/lib/appDirectory.ts</ns0:v>
      </ns0:c>
      <ns0:c r="I120" s="8" t="str"/>
    </ns0:row>
    <ns0:row r="121" ht="82" customHeight="1">
      <ns0:c r="A121" s="8" t="n">
        <ns0:v>115</ns0:v>
      </ns0:c>
      <ns0:c r="B121" s="8" t="str">
        <ns0:v>Electrodynamics</ns0:v>
      </ns0:c>
      <ns0:c r="C121" s="8" t="str">
        <ns0:v>Electricity</ns0:v>
      </ns0:c>
      <ns0:c r="D121" s="8" t="str">
        <ns0:v>Linked view</ns0:v>
      </ns0:c>
      <ns0:c r="E121" s="8" t="str">
        <ns0:v>Connect fields, potentials, induction, waves, and circuits. Try it in Electrostatic Field and Potential.</ns0:v>
      </ns0:c>
      <ns0:c r="F121" s="9" t="str">
        <ns0:f>HYPERLINK("https://physics.aimersociety.com/concepts?concept=ug-electrodynamics","https://physics.aimersociety.com/concepts?concept=ug-electrodynamics")</ns0:f>
        <ns0:v>https://physics.aimersociety.com/concepts?concept=ug-electrodynamics</ns0:v>
      </ns0:c>
      <ns0:c r="G121" s="8" t="str">
        <ns0:v>/concepts?concept=ug-electrodynamics</ns0:v>
      </ns0:c>
      <ns0:c r="H121" s="8" t="str">
        <ns0:v>src/lib/appDirectory.ts</ns0:v>
      </ns0:c>
      <ns0:c r="I121" s="8" t="str"/>
    </ns0:row>
    <ns0:row r="122" ht="82" customHeight="1">
      <ns0:c r="A122" s="8" t="n">
        <ns0:v>116</ns0:v>
      </ns0:c>
      <ns0:c r="B122" s="8" t="str">
        <ns0:v>EMI and Alternating Current</ns0:v>
      </ns0:c>
      <ns0:c r="C122" s="8" t="str">
        <ns0:v>Electricity</ns0:v>
      </ns0:c>
      <ns0:c r="D122" s="8" t="str">
        <ns0:v>Linked view</ns0:v>
      </ns0:c>
      <ns0:c r="E122" s="8" t="str">
        <ns0:v>Apply Faraday and Lenz laws. Try it in Faraday Induction.</ns0:v>
      </ns0:c>
      <ns0:c r="F122" s="9" t="str">
        <ns0:f>HYPERLINK("https://physics.aimersociety.com/concepts?concept=c12-emi-ac","https://physics.aimersociety.com/concepts?concept=c12-emi-ac")</ns0:f>
        <ns0:v>https://physics.aimersociety.com/concepts?concept=c12-emi-ac</ns0:v>
      </ns0:c>
      <ns0:c r="G122" s="8" t="str">
        <ns0:v>/concepts?concept=c12-emi-ac</ns0:v>
      </ns0:c>
      <ns0:c r="H122" s="8" t="str">
        <ns0:v>src/lib/appDirectory.ts</ns0:v>
      </ns0:c>
      <ns0:c r="I122" s="8" t="str"/>
    </ns0:row>
    <ns0:row r="123" ht="82" customHeight="1">
      <ns0:c r="A123" s="8" t="n">
        <ns0:v>117</ns0:v>
      </ns0:c>
      <ns0:c r="B123" s="8" t="str">
        <ns0:v>Heating Effect and Electric Power</ns0:v>
      </ns0:c>
      <ns0:c r="C123" s="8" t="str">
        <ns0:v>Electricity</ns0:v>
      </ns0:c>
      <ns0:c r="D123" s="8" t="str">
        <ns0:v>Linked view</ns0:v>
      </ns0:c>
      <ns0:c r="E123" s="8" t="str">
        <ns0:v>Use P = VI and H = I^2Rt. Try it in Heating Effect of Current.</ns0:v>
      </ns0:c>
      <ns0:c r="F123" s="9" t="str">
        <ns0:f>HYPERLINK("https://physics.aimersociety.com/concepts?concept=c10-electric-power","https://physics.aimersociety.com/concepts?concept=c10-electric-power")</ns0:f>
        <ns0:v>https://physics.aimersociety.com/concepts?concept=c10-electric-power</ns0:v>
      </ns0:c>
      <ns0:c r="G123" s="8" t="str">
        <ns0:v>/concepts?concept=c10-electric-power</ns0:v>
      </ns0:c>
      <ns0:c r="H123" s="8" t="str">
        <ns0:v>src/lib/appDirectory.ts</ns0:v>
      </ns0:c>
      <ns0:c r="I123" s="8" t="str"/>
    </ns0:row>
    <ns0:row r="124" ht="82" customHeight="1">
      <ns0:c r="A124" s="8" t="n">
        <ns0:v>118</ns0:v>
      </ns0:c>
      <ns0:c r="B124" s="8" t="str">
        <ns0:v>Heating Effect of Current</ns0:v>
      </ns0:c>
      <ns0:c r="C124" s="8" t="str">
        <ns0:v>Electricity</ns0:v>
      </ns0:c>
      <ns0:c r="D124" s="8" t="str">
        <ns0:v>Linked view</ns0:v>
      </ns0:c>
      <ns0:c r="E124" s="8" t="str">
        <ns0:v>Explain why wires and bulbs heat up. Try it in Heating Effect of Current.</ns0:v>
      </ns0:c>
      <ns0:c r="F124" s="9" t="str">
        <ns0:f>HYPERLINK("https://physics.aimersociety.com/concepts?concept=c7-heating-effect","https://physics.aimersociety.com/concepts?concept=c7-heating-effect")</ns0:f>
        <ns0:v>https://physics.aimersociety.com/concepts?concept=c7-heating-effect</ns0:v>
      </ns0:c>
      <ns0:c r="G124" s="8" t="str">
        <ns0:v>/concepts?concept=c7-heating-effect</ns0:v>
      </ns0:c>
      <ns0:c r="H124" s="8" t="str">
        <ns0:v>src/lib/appDirectory.ts</ns0:v>
      </ns0:c>
      <ns0:c r="I124" s="8" t="str"/>
    </ns0:row>
    <ns0:row r="125" ht="82" customHeight="1">
      <ns0:c r="A125" s="8" t="n">
        <ns0:v>119</ns0:v>
      </ns0:c>
      <ns0:c r="B125" s="8" t="str">
        <ns0:v>Ohm's Law and V-I Graph</ns0:v>
      </ns0:c>
      <ns0:c r="C125" s="8" t="str">
        <ns0:v>Electricity</ns0:v>
      </ns0:c>
      <ns0:c r="D125" s="8" t="str">
        <ns0:v>Linked view</ns0:v>
      </ns0:c>
      <ns0:c r="E125" s="8" t="str">
        <ns0:v>Manipulate voltage, current, and resistance. Try it in Ohm's Law V-I Graph.</ns0:v>
      </ns0:c>
      <ns0:c r="F125" s="9" t="str">
        <ns0:f>HYPERLINK("https://physics.aimersociety.com/concepts?concept=c10-ohms-law","https://physics.aimersociety.com/concepts?concept=c10-ohms-law")</ns0:f>
        <ns0:v>https://physics.aimersociety.com/concepts?concept=c10-ohms-law</ns0:v>
      </ns0:c>
      <ns0:c r="G125" s="8" t="str">
        <ns0:v>/concepts?concept=c10-ohms-law</ns0:v>
      </ns0:c>
      <ns0:c r="H125" s="8" t="str">
        <ns0:v>src/lib/appDirectory.ts</ns0:v>
      </ns0:c>
      <ns0:c r="I125" s="8" t="str"/>
    </ns0:row>
    <ns0:row r="126" ht="82" customHeight="1">
      <ns0:c r="A126" s="8" t="n">
        <ns0:v>120</ns0:v>
      </ns0:c>
      <ns0:c r="B126" s="8" t="str">
        <ns0:v>Series and Parallel Resistance</ns0:v>
      </ns0:c>
      <ns0:c r="C126" s="8" t="str">
        <ns0:v>Electricity</ns0:v>
      </ns0:c>
      <ns0:c r="D126" s="8" t="str">
        <ns0:v>Linked view</ns0:v>
      </ns0:c>
      <ns0:c r="E126" s="8" t="str">
        <ns0:v>Build series and parallel circuits. Try it in Series and Parallel Resistance.</ns0:v>
      </ns0:c>
      <ns0:c r="F126" s="9" t="str">
        <ns0:f>HYPERLINK("https://physics.aimersociety.com/concepts?concept=c10-series-parallel","https://physics.aimersociety.com/concepts?concept=c10-series-parallel")</ns0:f>
        <ns0:v>https://physics.aimersociety.com/concepts?concept=c10-series-parallel</ns0:v>
      </ns0:c>
      <ns0:c r="G126" s="8" t="str">
        <ns0:v>/concepts?concept=c10-series-parallel</ns0:v>
      </ns0:c>
      <ns0:c r="H126" s="8" t="str">
        <ns0:v>src/lib/appDirectory.ts</ns0:v>
      </ns0:c>
      <ns0:c r="I126" s="8" t="str"/>
    </ns0:row>
    <ns0:row r="127" ht="82" customHeight="1">
      <ns0:c r="A127" s="8" t="n">
        <ns0:v>121</ns0:v>
      </ns0:c>
      <ns0:c r="B127" s="8" t="str">
        <ns0:v>Simple Electric Circuits</ns0:v>
      </ns0:c>
      <ns0:c r="C127" s="8" t="str">
        <ns0:v>Electricity</ns0:v>
      </ns0:c>
      <ns0:c r="D127" s="8" t="str">
        <ns0:v>Linked view</ns0:v>
      </ns0:c>
      <ns0:c r="E127" s="8" t="str">
        <ns0:v>Build a closed circuit and explain why a bulb glows. Try it in Ohm's Law V-I Graph.</ns0:v>
      </ns0:c>
      <ns0:c r="F127" s="9" t="str">
        <ns0:f>HYPERLINK("https://physics.aimersociety.com/concepts?concept=c6-simple-circuits","https://physics.aimersociety.com/concepts?concept=c6-simple-circuits")</ns0:f>
        <ns0:v>https://physics.aimersociety.com/concepts?concept=c6-simple-circuits</ns0:v>
      </ns0:c>
      <ns0:c r="G127" s="8" t="str">
        <ns0:v>/concepts?concept=c6-simple-circuits</ns0:v>
      </ns0:c>
      <ns0:c r="H127" s="8" t="str">
        <ns0:v>src/lib/appDirectory.ts</ns0:v>
      </ns0:c>
      <ns0:c r="I127" s="8" t="str"/>
    </ns0:row>
    <ns0:row r="128" ht="82" customHeight="1">
      <ns0:c r="A128" s="8" t="n">
        <ns0:v>122</ns0:v>
      </ns0:c>
      <ns0:c r="B128" s="8" t="str">
        <ns0:v>Static Electricity and Lightning</ns0:v>
      </ns0:c>
      <ns0:c r="C128" s="8" t="str">
        <ns0:v>Electricity</ns0:v>
      </ns0:c>
      <ns0:c r="D128" s="8" t="str">
        <ns0:v>Linked view</ns0:v>
      </ns0:c>
      <ns0:c r="E128" s="8" t="str">
        <ns0:v>Explain charging by rubbing and transfer. Try it in Static Electricity and Lightning.</ns0:v>
      </ns0:c>
      <ns0:c r="F128" s="9" t="str">
        <ns0:f>HYPERLINK("https://physics.aimersociety.com/concepts?concept=c8-static-lightning","https://physics.aimersociety.com/concepts?concept=c8-static-lightning")</ns0:f>
        <ns0:v>https://physics.aimersociety.com/concepts?concept=c8-static-lightning</ns0:v>
      </ns0:c>
      <ns0:c r="G128" s="8" t="str">
        <ns0:v>/concepts?concept=c8-static-lightning</ns0:v>
      </ns0:c>
      <ns0:c r="H128" s="8" t="str">
        <ns0:v>src/lib/appDirectory.ts</ns0:v>
      </ns0:c>
      <ns0:c r="I128" s="8" t="str"/>
    </ns0:row>
    <ns0:row r="129" ht="82" customHeight="1">
      <ns0:c r="A129" s="8" t="n">
        <ns0:v>123</ns0:v>
      </ns0:c>
      <ns0:c r="B129" s="8" t="str">
        <ns0:v>Circuit Labs</ns0:v>
      </ns0:c>
      <ns0:c r="C129" s="8" t="str">
        <ns0:v>Electricity &amp; Magnetism</ns0:v>
      </ns0:c>
      <ns0:c r="D129" s="8" t="str">
        <ns0:v>Linked view</ns0:v>
      </ns0:c>
      <ns0:c r="E129" s="8" t="str">
        <ns0:v>Launch circuit, Ohm's law, capacitor, and AC experiments.</ns0:v>
      </ns0:c>
      <ns0:c r="F129" s="9" t="str">
        <ns0:f>HYPERLINK("https://physics.aimersociety.com/experiments?category=Electricity","https://physics.aimersociety.com/experiments?category=Electricity")</ns0:f>
        <ns0:v>https://physics.aimersociety.com/experiments?category=Electricity</ns0:v>
      </ns0:c>
      <ns0:c r="G129" s="8" t="str">
        <ns0:v>/experiments?category=Electricity</ns0:v>
      </ns0:c>
      <ns0:c r="H129" s="8" t="str">
        <ns0:v>src/lib/appDirectory.ts</ns0:v>
      </ns0:c>
      <ns0:c r="I129" s="8" t="str"/>
    </ns0:row>
    <ns0:row r="130" ht="82" customHeight="1">
      <ns0:c r="A130" s="8" t="n">
        <ns0:v>124</ns0:v>
      </ns0:c>
      <ns0:c r="B130" s="8" t="str">
        <ns0:v>Magnetic Field Labs</ns0:v>
      </ns0:c>
      <ns0:c r="C130" s="8" t="str">
        <ns0:v>Electricity &amp; Magnetism</ns0:v>
      </ns0:c>
      <ns0:c r="D130" s="8" t="str">
        <ns0:v>Linked view</ns0:v>
      </ns0:c>
      <ns0:c r="E130" s="8" t="str">
        <ns0:v>Explore magnetic field, induction, and force visualizations.</ns0:v>
      </ns0:c>
      <ns0:c r="F130" s="9" t="str">
        <ns0:f>HYPERLINK("https://physics.aimersociety.com/experiments?category=Magnetism","https://physics.aimersociety.com/experiments?category=Magnetism")</ns0:f>
        <ns0:v>https://physics.aimersociety.com/experiments?category=Magnetism</ns0:v>
      </ns0:c>
      <ns0:c r="G130" s="8" t="str">
        <ns0:v>/experiments?category=Magnetism</ns0:v>
      </ns0:c>
      <ns0:c r="H130" s="8" t="str">
        <ns0:v>src/lib/appDirectory.ts</ns0:v>
      </ns0:c>
      <ns0:c r="I130" s="8" t="str"/>
    </ns0:row>
    <ns0:row r="131" ht="82" customHeight="1">
      <ns0:c r="A131" s="8" t="n">
        <ns0:v>125</ns0:v>
      </ns0:c>
      <ns0:c r="B131" s="8" t="str">
        <ns0:v>Condensed Matter</ns0:v>
      </ns0:c>
      <ns0:c r="C131" s="8" t="str">
        <ns0:v>Electronics</ns0:v>
      </ns0:c>
      <ns0:c r="D131" s="8" t="str">
        <ns0:v>Linked view</ns0:v>
      </ns0:c>
      <ns0:c r="E131" s="8" t="str">
        <ns0:v>Model bands, lattices, phonons, and semiconductors. Try it in Semiconductor Diode and Rectifier.</ns0:v>
      </ns0:c>
      <ns0:c r="F131" s="9" t="str">
        <ns0:f>HYPERLINK("https://physics.aimersociety.com/concepts?concept=pg-condensed-matter","https://physics.aimersociety.com/concepts?concept=pg-condensed-matter")</ns0:f>
        <ns0:v>https://physics.aimersociety.com/concepts?concept=pg-condensed-matter</ns0:v>
      </ns0:c>
      <ns0:c r="G131" s="8" t="str">
        <ns0:v>/concepts?concept=pg-condensed-matter</ns0:v>
      </ns0:c>
      <ns0:c r="H131" s="8" t="str">
        <ns0:v>src/lib/appDirectory.ts</ns0:v>
      </ns0:c>
      <ns0:c r="I131" s="8" t="str"/>
    </ns0:row>
    <ns0:row r="132" ht="82" customHeight="1">
      <ns0:c r="A132" s="8" t="n">
        <ns0:v>126</ns0:v>
      </ns0:c>
      <ns0:c r="B132" s="8" t="str">
        <ns0:v>Materials and Devices</ns0:v>
      </ns0:c>
      <ns0:c r="C132" s="8" t="str">
        <ns0:v>Electronics</ns0:v>
      </ns0:c>
      <ns0:c r="D132" s="8" t="str">
        <ns0:v>Linked view</ns0:v>
      </ns0:c>
      <ns0:c r="E132" s="8" t="str">
        <ns0:v>Connect nanoscale structure to transport and device behavior. Try it in Semiconductor Diode and Rectifier.</ns0:v>
      </ns0:c>
      <ns0:c r="F132" s="9" t="str">
        <ns0:f>HYPERLINK("https://physics.aimersociety.com/concepts?concept=phd-materials-devices","https://physics.aimersociety.com/concepts?concept=phd-materials-devices")</ns0:f>
        <ns0:v>https://physics.aimersociety.com/concepts?concept=phd-materials-devices</ns0:v>
      </ns0:c>
      <ns0:c r="G132" s="8" t="str">
        <ns0:v>/concepts?concept=phd-materials-devices</ns0:v>
      </ns0:c>
      <ns0:c r="H132" s="8" t="str">
        <ns0:v>src/lib/appDirectory.ts</ns0:v>
      </ns0:c>
      <ns0:c r="I132" s="8" t="str"/>
    </ns0:row>
    <ns0:row r="133" ht="82" customHeight="1">
      <ns0:c r="A133" s="8" t="n">
        <ns0:v>127</ns0:v>
      </ns0:c>
      <ns0:c r="B133" s="8" t="str">
        <ns0:v>Semiconductor Electronics</ns0:v>
      </ns0:c>
      <ns0:c r="C133" s="8" t="str">
        <ns0:v>Electronics</ns0:v>
      </ns0:c>
      <ns0:c r="D133" s="8" t="str">
        <ns0:v>Linked view</ns0:v>
      </ns0:c>
      <ns0:c r="E133" s="8" t="str">
        <ns0:v>Identify diode behavior. Try it in Semiconductor Diode and Rectifier.</ns0:v>
      </ns0:c>
      <ns0:c r="F133" s="9" t="str">
        <ns0:f>HYPERLINK("https://physics.aimersociety.com/concepts?concept=c12-semiconductors","https://physics.aimersociety.com/concepts?concept=c12-semiconductors")</ns0:f>
        <ns0:v>https://physics.aimersociety.com/concepts?concept=c12-semiconductors</ns0:v>
      </ns0:c>
      <ns0:c r="G133" s="8" t="str">
        <ns0:v>/concepts?concept=c12-semiconductors</ns0:v>
      </ns0:c>
      <ns0:c r="H133" s="8" t="str">
        <ns0:v>src/lib/appDirectory.ts</ns0:v>
      </ns0:c>
      <ns0:c r="I133" s="8" t="str"/>
    </ns0:row>
    <ns0:row r="134" ht="82" customHeight="1">
      <ns0:c r="A134" s="8" t="n">
        <ns0:v>128</ns0:v>
      </ns0:c>
      <ns0:c r="B134" s="8" t="str">
        <ns0:v>Conventional and Renewable Energy Sources</ns0:v>
      </ns0:c>
      <ns0:c r="C134" s="8" t="str">
        <ns0:v>Energy</ns0:v>
      </ns0:c>
      <ns0:c r="D134" s="8" t="str">
        <ns0:v>Linked view</ns0:v>
      </ns0:c>
      <ns0:c r="E134" s="8" t="str">
        <ns0:v>Compare output, efficiency, cost, and environmental impact. Try it in Sources of Energy Comparator.</ns0:v>
      </ns0:c>
      <ns0:c r="F134" s="9" t="str">
        <ns0:f>HYPERLINK("https://physics.aimersociety.com/concepts?concept=c10-sources-energy","https://physics.aimersociety.com/concepts?concept=c10-sources-energy")</ns0:f>
        <ns0:v>https://physics.aimersociety.com/concepts?concept=c10-sources-energy</ns0:v>
      </ns0:c>
      <ns0:c r="G134" s="8" t="str">
        <ns0:v>/concepts?concept=c10-sources-energy</ns0:v>
      </ns0:c>
      <ns0:c r="H134" s="8" t="str">
        <ns0:v>src/lib/appDirectory.ts</ns0:v>
      </ns0:c>
      <ns0:c r="I134" s="8" t="str"/>
    </ns0:row>
    <ns0:row r="135" ht="82" customHeight="1">
      <ns0:c r="A135" s="8" t="n">
        <ns0:v>129</ns0:v>
      </ns0:c>
      <ns0:c r="B135" s="8" t="str">
        <ns0:v>Floatation and Buoyancy</ns0:v>
      </ns0:c>
      <ns0:c r="C135" s="8" t="str">
        <ns0:v>Fluid Mechanics</ns0:v>
      </ns0:c>
      <ns0:c r="D135" s="8" t="str">
        <ns0:v>Linked view</ns0:v>
      </ns0:c>
      <ns0:c r="E135" s="8" t="str">
        <ns0:v>Apply Archimedes' principle. Try it in Buoyancy.</ns0:v>
      </ns0:c>
      <ns0:c r="F135" s="9" t="str">
        <ns0:f>HYPERLINK("https://physics.aimersociety.com/concepts?concept=c9-floatation","https://physics.aimersociety.com/concepts?concept=c9-floatation")</ns0:f>
        <ns0:v>https://physics.aimersociety.com/concepts?concept=c9-floatation</ns0:v>
      </ns0:c>
      <ns0:c r="G135" s="8" t="str">
        <ns0:v>/concepts?concept=c9-floatation</ns0:v>
      </ns0:c>
      <ns0:c r="H135" s="8" t="str">
        <ns0:v>src/lib/appDirectory.ts</ns0:v>
      </ns0:c>
      <ns0:c r="I135" s="8" t="str"/>
    </ns0:row>
    <ns0:row r="136" ht="82" customHeight="1">
      <ns0:c r="A136" s="8" t="n">
        <ns0:v>130</ns0:v>
      </ns0:c>
      <ns0:c r="B136" s="8" t="str">
        <ns0:v>Pressure in Solids and Fluids</ns0:v>
      </ns0:c>
      <ns0:c r="C136" s="8" t="str">
        <ns0:v>Fluid Mechanics</ns0:v>
      </ns0:c>
      <ns0:c r="D136" s="8" t="str">
        <ns0:v>Linked view</ns0:v>
      </ns0:c>
      <ns0:c r="E136" s="8" t="str">
        <ns0:v>Relate pressure to force and area. Try it in Force and Pressure.</ns0:v>
      </ns0:c>
      <ns0:c r="F136" s="9" t="str">
        <ns0:f>HYPERLINK("https://physics.aimersociety.com/concepts?concept=c8-pressure","https://physics.aimersociety.com/concepts?concept=c8-pressure")</ns0:f>
        <ns0:v>https://physics.aimersociety.com/concepts?concept=c8-pressure</ns0:v>
      </ns0:c>
      <ns0:c r="G136" s="8" t="str">
        <ns0:v>/concepts?concept=c8-pressure</ns0:v>
      </ns0:c>
      <ns0:c r="H136" s="8" t="str">
        <ns0:v>src/lib/appDirectory.ts</ns0:v>
      </ns0:c>
      <ns0:c r="I136" s="8" t="str"/>
    </ns0:row>
    <ns0:row r="137" ht="82" customHeight="1">
      <ns0:c r="A137" s="8" t="n">
        <ns0:v>131</ns0:v>
      </ns0:c>
      <ns0:c r="B137" s="8" t="str">
        <ns0:v>Solids and Fluids</ns0:v>
      </ns0:c>
      <ns0:c r="C137" s="8" t="str">
        <ns0:v>Fluid Mechanics</ns0:v>
      </ns0:c>
      <ns0:c r="D137" s="8" t="str">
        <ns0:v>Linked view</ns0:v>
      </ns0:c>
      <ns0:c r="E137" s="8" t="str">
        <ns0:v>Model elasticity, viscosity, Bernoulli flow, and surface tension. Try it in Buoyancy.</ns0:v>
      </ns0:c>
      <ns0:c r="F137" s="9" t="str">
        <ns0:f>HYPERLINK("https://physics.aimersociety.com/concepts?concept=c11-solids-fluids","https://physics.aimersociety.com/concepts?concept=c11-solids-fluids")</ns0:f>
        <ns0:v>https://physics.aimersociety.com/concepts?concept=c11-solids-fluids</ns0:v>
      </ns0:c>
      <ns0:c r="G137" s="8" t="str">
        <ns0:v>/concepts?concept=c11-solids-fluids</ns0:v>
      </ns0:c>
      <ns0:c r="H137" s="8" t="str">
        <ns0:v>src/lib/appDirectory.ts</ns0:v>
      </ns0:c>
      <ns0:c r="I137" s="8" t="str"/>
    </ns0:row>
    <ns0:row r="138" ht="82" customHeight="1">
      <ns0:c r="A138" s="8" t="n">
        <ns0:v>132</ns0:v>
      </ns0:c>
      <ns0:c r="B138" s="8" t="str">
        <ns0:v>Platform Comparison</ns0:v>
      </ns0:c>
      <ns0:c r="C138" s="8" t="str">
        <ns0:v>Governance</ns0:v>
      </ns0:c>
      <ns0:c r="D138" s="8" t="str">
        <ns0:v>Linked view</ns0:v>
      </ns0:c>
      <ns0:c r="E138" s="8" t="str">
        <ns0:v>Product benchmark and positioning.</ns0:v>
      </ns0:c>
      <ns0:c r="F138" s="9" t="str">
        <ns0:f>HYPERLINK("https://physics.aimersociety.com/comparison?view=benchmark","https://physics.aimersociety.com/comparison?view=benchmark")</ns0:f>
        <ns0:v>https://physics.aimersociety.com/comparison?view=benchmark</ns0:v>
      </ns0:c>
      <ns0:c r="G138" s="8" t="str">
        <ns0:v>/comparison?view=benchmark</ns0:v>
      </ns0:c>
      <ns0:c r="H138" s="8" t="str">
        <ns0:v>src/lib/appDirectory.ts</ns0:v>
      </ns0:c>
      <ns0:c r="I138" s="8" t="str"/>
    </ns0:row>
    <ns0:row r="139" ht="82" customHeight="1">
      <ns0:c r="A139" s="8" t="n">
        <ns0:v>133</ns0:v>
      </ns0:c>
      <ns0:c r="B139" s="8" t="str">
        <ns0:v>Astrophysics Observatory</ns0:v>
      </ns0:c>
      <ns0:c r="C139" s="8" t="str">
        <ns0:v>Immersive Science</ns0:v>
      </ns0:c>
      <ns0:c r="D139" s="8" t="str">
        <ns0:v>Linked view</ns0:v>
      </ns0:c>
      <ns0:c r="E139" s="8" t="str">
        <ns0:v>Client-ready space science modules cover black-hole lensing, stellar evolution, galaxies, and the cosmic timeline.</ns0:v>
      </ns0:c>
      <ns0:c r="F139" s="9" t="str">
        <ns0:f>HYPERLINK("https://physics.aimersociety.com/astrophysics?concept=black-hole-lensing","https://physics.aimersociety.com/astrophysics?concept=black-hole-lensing")</ns0:f>
        <ns0:v>https://physics.aimersociety.com/astrophysics?concept=black-hole-lensing</ns0:v>
      </ns0:c>
      <ns0:c r="G139" s="8" t="str">
        <ns0:v>/astrophysics?concept=black-hole-lensing</ns0:v>
      </ns0:c>
      <ns0:c r="H139" s="8" t="str">
        <ns0:v>src/lib/appDirectory.ts</ns0:v>
      </ns0:c>
      <ns0:c r="I139" s="8" t="str"/>
    </ns0:row>
    <ns0:row r="140" ht="82" customHeight="1">
      <ns0:c r="A140" s="8" t="n">
        <ns0:v>134</ns0:v>
      </ns0:c>
      <ns0:c r="B140" s="8" t="str">
        <ns0:v>Quiz Practice</ns0:v>
      </ns0:c>
      <ns0:c r="C140" s="8" t="str">
        <ns0:v>Learning, Trust &amp; Teaching</ns0:v>
      </ns0:c>
      <ns0:c r="D140" s="8" t="str">
        <ns0:v>Linked view</ns0:v>
      </ns0:c>
      <ns0:c r="E140" s="8" t="str">
        <ns0:v>Practice conceptual and numerical physics questions.</ns0:v>
      </ns0:c>
      <ns0:c r="F140" s="9" t="str">
        <ns0:f>HYPERLINK("https://physics.aimersociety.com/quiz?view=practice","https://physics.aimersociety.com/quiz?view=practice")</ns0:f>
        <ns0:v>https://physics.aimersociety.com/quiz?view=practice</ns0:v>
      </ns0:c>
      <ns0:c r="G140" s="8" t="str">
        <ns0:v>/quiz?view=practice</ns0:v>
      </ns0:c>
      <ns0:c r="H140" s="8" t="str">
        <ns0:v>src/lib/appDirectory.ts</ns0:v>
      </ns0:c>
      <ns0:c r="I140" s="8" t="str"/>
    </ns0:row>
    <ns0:row r="141" ht="82" customHeight="1">
      <ns0:c r="A141" s="8" t="n">
        <ns0:v>135</ns0:v>
      </ns0:c>
      <ns0:c r="B141" s="8" t="str">
        <ns0:v>Magnetic Effect and Electromagnet</ns0:v>
      </ns0:c>
      <ns0:c r="C141" s="8" t="str">
        <ns0:v>Magnetism</ns0:v>
      </ns0:c>
      <ns0:c r="D141" s="8" t="str">
        <ns0:v>Linked view</ns0:v>
      </ns0:c>
      <ns0:c r="E141" s="8" t="str">
        <ns0:v>Show current can produce magnetism. Try it in Electromagnet.</ns0:v>
      </ns0:c>
      <ns0:c r="F141" s="9" t="str">
        <ns0:f>HYPERLINK("https://physics.aimersociety.com/concepts?concept=c7-magnetic-effect","https://physics.aimersociety.com/concepts?concept=c7-magnetic-effect")</ns0:f>
        <ns0:v>https://physics.aimersociety.com/concepts?concept=c7-magnetic-effect</ns0:v>
      </ns0:c>
      <ns0:c r="G141" s="8" t="str">
        <ns0:v>/concepts?concept=c7-magnetic-effect</ns0:v>
      </ns0:c>
      <ns0:c r="H141" s="8" t="str">
        <ns0:v>src/lib/appDirectory.ts</ns0:v>
      </ns0:c>
      <ns0:c r="I141" s="8" t="str"/>
    </ns0:row>
    <ns0:row r="142" ht="82" customHeight="1">
      <ns0:c r="A142" s="8" t="n">
        <ns0:v>136</ns0:v>
      </ns0:c>
      <ns0:c r="B142" s="8" t="str">
        <ns0:v>Magnetic Effects of Current</ns0:v>
      </ns0:c>
      <ns0:c r="C142" s="8" t="str">
        <ns0:v>Magnetism</ns0:v>
      </ns0:c>
      <ns0:c r="D142" s="8" t="str">
        <ns0:v>Linked view</ns0:v>
      </ns0:c>
      <ns0:c r="E142" s="8" t="str">
        <ns0:v>Visualize field around wire, coil, and solenoid. Try it in Magnetic Field Around Current.</ns0:v>
      </ns0:c>
      <ns0:c r="F142" s="9" t="str">
        <ns0:f>HYPERLINK("https://physics.aimersociety.com/concepts?concept=c10-magnetism","https://physics.aimersociety.com/concepts?concept=c10-magnetism")</ns0:f>
        <ns0:v>https://physics.aimersociety.com/concepts?concept=c10-magnetism</ns0:v>
      </ns0:c>
      <ns0:c r="G142" s="8" t="str">
        <ns0:v>/concepts?concept=c10-magnetism</ns0:v>
      </ns0:c>
      <ns0:c r="H142" s="8" t="str">
        <ns0:v>src/lib/appDirectory.ts</ns0:v>
      </ns0:c>
      <ns0:c r="I142" s="8" t="str"/>
    </ns0:row>
    <ns0:row r="143" ht="82" customHeight="1">
      <ns0:c r="A143" s="8" t="n">
        <ns0:v>137</ns0:v>
      </ns0:c>
      <ns0:c r="B143" s="8" t="str">
        <ns0:v>Magnets</ns0:v>
      </ns0:c>
      <ns0:c r="C143" s="8" t="str">
        <ns0:v>Magnetism</ns0:v>
      </ns0:c>
      <ns0:c r="D143" s="8" t="str">
        <ns0:v>Linked view</ns0:v>
      </ns0:c>
      <ns0:c r="E143" s="8" t="str">
        <ns0:v>Compare poles, attraction, repulsion, and compass direction. Try it in Magnetic Field Around Current.</ns0:v>
      </ns0:c>
      <ns0:c r="F143" s="9" t="str">
        <ns0:f>HYPERLINK("https://physics.aimersociety.com/concepts?concept=c6-magnets","https://physics.aimersociety.com/concepts?concept=c6-magnets")</ns0:f>
        <ns0:v>https://physics.aimersociety.com/concepts?concept=c6-magnets</ns0:v>
      </ns0:c>
      <ns0:c r="G143" s="8" t="str">
        <ns0:v>/concepts?concept=c6-magnets</ns0:v>
      </ns0:c>
      <ns0:c r="H143" s="8" t="str">
        <ns0:v>src/lib/appDirectory.ts</ns0:v>
      </ns0:c>
      <ns0:c r="I143" s="8" t="str"/>
    </ns0:row>
    <ns0:row r="144" ht="82" customHeight="1">
      <ns0:c r="A144" s="8" t="n">
        <ns0:v>138</ns0:v>
      </ns0:c>
      <ns0:c r="B144" s="8" t="str">
        <ns0:v>Moving Charges and Magnetism</ns0:v>
      </ns0:c>
      <ns0:c r="C144" s="8" t="str">
        <ns0:v>Magnetism</ns0:v>
      </ns0:c>
      <ns0:c r="D144" s="8" t="str">
        <ns0:v>Linked view</ns0:v>
      </ns0:c>
      <ns0:c r="E144" s="8" t="str">
        <ns0:v>Visualize Lorentz force and field due to currents. Try it in Magnetic Field Around Current.</ns0:v>
      </ns0:c>
      <ns0:c r="F144" s="9" t="str">
        <ns0:f>HYPERLINK("https://physics.aimersociety.com/concepts?concept=c12-magnetic-effects","https://physics.aimersociety.com/concepts?concept=c12-magnetic-effects")</ns0:f>
        <ns0:v>https://physics.aimersociety.com/concepts?concept=c12-magnetic-effects</ns0:v>
      </ns0:c>
      <ns0:c r="G144" s="8" t="str">
        <ns0:v>/concepts?concept=c12-magnetic-effects</ns0:v>
      </ns0:c>
      <ns0:c r="H144" s="8" t="str">
        <ns0:v>src/lib/appDirectory.ts</ns0:v>
      </ns0:c>
      <ns0:c r="I144" s="8" t="str"/>
    </ns0:row>
    <ns0:row r="145" ht="82" customHeight="1">
      <ns0:c r="A145" s="8" t="n">
        <ns0:v>139</ns0:v>
      </ns0:c>
      <ns0:c r="B145" s="8" t="str">
        <ns0:v>Computational Physics</ns0:v>
      </ns0:c>
      <ns0:c r="C145" s="8" t="str">
        <ns0:v>Measurement</ns0:v>
      </ns0:c>
      <ns0:c r="D145" s="8" t="str">
        <ns0:v>Linked view</ns0:v>
      </ns0:c>
      <ns0:c r="E145" s="8" t="str">
        <ns0:v>Run numerical models, uncertainty checks, and reproducible workflows. Try it in Computational Physics Workflow.</ns0:v>
      </ns0:c>
      <ns0:c r="F145" s="9" t="str">
        <ns0:f>HYPERLINK("https://physics.aimersociety.com/concepts?concept=phd-computation","https://physics.aimersociety.com/concepts?concept=phd-computation")</ns0:f>
        <ns0:v>https://physics.aimersociety.com/concepts?concept=phd-computation</ns0:v>
      </ns0:c>
      <ns0:c r="G145" s="8" t="str">
        <ns0:v>/concepts?concept=phd-computation</ns0:v>
      </ns0:c>
      <ns0:c r="H145" s="8" t="str">
        <ns0:v>src/lib/appDirectory.ts</ns0:v>
      </ns0:c>
      <ns0:c r="I145" s="8" t="str"/>
    </ns0:row>
    <ns0:row r="146" ht="82" customHeight="1">
      <ns0:c r="A146" s="8" t="n">
        <ns0:v>140</ns0:v>
      </ns0:c>
      <ns0:c r="B146" s="8" t="str">
        <ns0:v>Motion and Measurement</ns0:v>
      </ns0:c>
      <ns0:c r="C146" s="8" t="str">
        <ns0:v>Measurement</ns0:v>
      </ns0:c>
      <ns0:c r="D146" s="8" t="str">
        <ns0:v>Linked view</ns0:v>
      </ns0:c>
      <ns0:c r="E146" s="8" t="str">
        <ns0:v>Measure length and time, then compare slow and fast motion. Try it in Measurement, Error, and Significant Figures.</ns0:v>
      </ns0:c>
      <ns0:c r="F146" s="9" t="str">
        <ns0:f>HYPERLINK("https://physics.aimersociety.com/concepts?concept=c6-motion-measurement","https://physics.aimersociety.com/concepts?concept=c6-motion-measurement")</ns0:f>
        <ns0:v>https://physics.aimersociety.com/concepts?concept=c6-motion-measurement</ns0:v>
      </ns0:c>
      <ns0:c r="G146" s="8" t="str">
        <ns0:v>/concepts?concept=c6-motion-measurement</ns0:v>
      </ns0:c>
      <ns0:c r="H146" s="8" t="str">
        <ns0:v>src/lib/appDirectory.ts</ns0:v>
      </ns0:c>
      <ns0:c r="I146" s="8" t="str"/>
    </ns0:row>
    <ns0:row r="147" ht="82" customHeight="1">
      <ns0:c r="A147" s="8" t="n">
        <ns0:v>141</ns0:v>
      </ns0:c>
      <ns0:c r="B147" s="8" t="str">
        <ns0:v>Units, Dimensions, and Errors</ns0:v>
      </ns0:c>
      <ns0:c r="C147" s="8" t="str">
        <ns0:v>Measurement</ns0:v>
      </ns0:c>
      <ns0:c r="D147" s="8" t="str">
        <ns0:v>Linked view</ns0:v>
      </ns0:c>
      <ns0:c r="E147" s="8" t="str">
        <ns0:v>Use SI units and dimensions. Try it in Measurement, Error, and Significant Figures.</ns0:v>
      </ns0:c>
      <ns0:c r="F147" s="9" t="str">
        <ns0:f>HYPERLINK("https://physics.aimersociety.com/concepts?concept=c11-units-errors","https://physics.aimersociety.com/concepts?concept=c11-units-errors")</ns0:f>
        <ns0:v>https://physics.aimersociety.com/concepts?concept=c11-units-errors</ns0:v>
      </ns0:c>
      <ns0:c r="G147" s="8" t="str">
        <ns0:v>/concepts?concept=c11-units-errors</ns0:v>
      </ns0:c>
      <ns0:c r="H147" s="8" t="str">
        <ns0:v>src/lib/appDirectory.ts</ns0:v>
      </ns0:c>
      <ns0:c r="I147" s="8" t="str"/>
    </ns0:row>
    <ns0:row r="148" ht="82" customHeight="1">
      <ns0:c r="A148" s="8" t="n">
        <ns0:v>142</ns0:v>
      </ns0:c>
      <ns0:c r="B148" s="8" t="str">
        <ns0:v>Analytical Mechanics</ns0:v>
      </ns0:c>
      <ns0:c r="C148" s="8" t="str">
        <ns0:v>Mechanics</ns0:v>
      </ns0:c>
      <ns0:c r="D148" s="8" t="str">
        <ns0:v>Linked view</ns0:v>
      </ns0:c>
      <ns0:c r="E148" s="8" t="str">
        <ns0:v>Model Lagrangian ideas, constraints, oscillations, and central forces. Try it in Simple Pendulum.</ns0:v>
      </ns0:c>
      <ns0:c r="F148" s="9" t="str">
        <ns0:f>HYPERLINK("https://physics.aimersociety.com/concepts?concept=ug-classical-mechanics","https://physics.aimersociety.com/concepts?concept=ug-classical-mechanics")</ns0:f>
        <ns0:v>https://physics.aimersociety.com/concepts?concept=ug-classical-mechanics</ns0:v>
      </ns0:c>
      <ns0:c r="G148" s="8" t="str">
        <ns0:v>/concepts?concept=ug-classical-mechanics</ns0:v>
      </ns0:c>
      <ns0:c r="H148" s="8" t="str">
        <ns0:v>src/lib/appDirectory.ts</ns0:v>
      </ns0:c>
      <ns0:c r="I148" s="8" t="str"/>
    </ns0:row>
    <ns0:row r="149" ht="82" customHeight="1">
      <ns0:c r="A149" s="8" t="n">
        <ns0:v>143</ns0:v>
      </ns0:c>
      <ns0:c r="B149" s="8" t="str">
        <ns0:v>Biophysics and Complex Systems</ns0:v>
      </ns0:c>
      <ns0:c r="C149" s="8" t="str">
        <ns0:v>Mechanics</ns0:v>
      </ns0:c>
      <ns0:c r="D149" s="8" t="str">
        <ns0:v>Linked view</ns0:v>
      </ns0:c>
      <ns0:c r="E149" s="8" t="str">
        <ns0:v>Use physics tools on nonlinear, living, and networked systems. Try it in Simple Pendulum.</ns0:v>
      </ns0:c>
      <ns0:c r="F149" s="9" t="str">
        <ns0:f>HYPERLINK("https://physics.aimersociety.com/concepts?concept=phd-biophysics-complexity","https://physics.aimersociety.com/concepts?concept=phd-biophysics-complexity")</ns0:f>
        <ns0:v>https://physics.aimersociety.com/concepts?concept=phd-biophysics-complexity</ns0:v>
      </ns0:c>
      <ns0:c r="G149" s="8" t="str">
        <ns0:v>/concepts?concept=phd-biophysics-complexity</ns0:v>
      </ns0:c>
      <ns0:c r="H149" s="8" t="str">
        <ns0:v>src/lib/appDirectory.ts</ns0:v>
      </ns0:c>
      <ns0:c r="I149" s="8" t="str"/>
    </ns0:row>
    <ns0:row r="150" ht="82" customHeight="1">
      <ns0:c r="A150" s="8" t="n">
        <ns0:v>144</ns0:v>
      </ns0:c>
      <ns0:c r="B150" s="8" t="str">
        <ns0:v>Distance-Time Graphs</ns0:v>
      </ns0:c>
      <ns0:c r="C150" s="8" t="str">
        <ns0:v>Mechanics</ns0:v>
      </ns0:c>
      <ns0:c r="D150" s="8" t="str">
        <ns0:v>Linked view</ns0:v>
      </ns0:c>
      <ns0:c r="E150" s="8" t="str">
        <ns0:v>Interpret a distance-time graph. Try it in Uniform Motion.</ns0:v>
      </ns0:c>
      <ns0:c r="F150" s="9" t="str">
        <ns0:f>HYPERLINK("https://physics.aimersociety.com/concepts?concept=c7-distance-time","https://physics.aimersociety.com/concepts?concept=c7-distance-time")</ns0:f>
        <ns0:v>https://physics.aimersociety.com/concepts?concept=c7-distance-time</ns0:v>
      </ns0:c>
      <ns0:c r="G150" s="8" t="str">
        <ns0:v>/concepts?concept=c7-distance-time</ns0:v>
      </ns0:c>
      <ns0:c r="H150" s="8" t="str">
        <ns0:v>src/lib/appDirectory.ts</ns0:v>
      </ns0:c>
      <ns0:c r="I150" s="8" t="str"/>
    </ns0:row>
    <ns0:row r="151" ht="82" customHeight="1">
      <ns0:c r="A151" s="8" t="n">
        <ns0:v>145</ns0:v>
      </ns0:c>
      <ns0:c r="B151" s="8" t="str">
        <ns0:v>Effects of Force</ns0:v>
      </ns0:c>
      <ns0:c r="C151" s="8" t="str">
        <ns0:v>Mechanics</ns0:v>
      </ns0:c>
      <ns0:c r="D151" s="8" t="str">
        <ns0:v>Linked view</ns0:v>
      </ns0:c>
      <ns0:c r="E151" s="8" t="str">
        <ns0:v>Identify push/pull interactions. Try it in Newton's Second Law.</ns0:v>
      </ns0:c>
      <ns0:c r="F151" s="9" t="str">
        <ns0:f>HYPERLINK("https://physics.aimersociety.com/concepts?concept=c8-force-effects","https://physics.aimersociety.com/concepts?concept=c8-force-effects")</ns0:f>
        <ns0:v>https://physics.aimersociety.com/concepts?concept=c8-force-effects</ns0:v>
      </ns0:c>
      <ns0:c r="G151" s="8" t="str">
        <ns0:v>/concepts?concept=c8-force-effects</ns0:v>
      </ns0:c>
      <ns0:c r="H151" s="8" t="str">
        <ns0:v>src/lib/appDirectory.ts</ns0:v>
      </ns0:c>
      <ns0:c r="I151" s="8" t="str"/>
    </ns0:row>
    <ns0:row r="152" ht="82" customHeight="1">
      <ns0:c r="A152" s="8" t="n">
        <ns0:v>146</ns0:v>
      </ns0:c>
      <ns0:c r="B152" s="8" t="str">
        <ns0:v>Force and Newton's Laws</ns0:v>
      </ns0:c>
      <ns0:c r="C152" s="8" t="str">
        <ns0:v>Mechanics</ns0:v>
      </ns0:c>
      <ns0:c r="D152" s="8" t="str">
        <ns0:v>Linked view</ns0:v>
      </ns0:c>
      <ns0:c r="E152" s="8" t="str">
        <ns0:v>Explain inertia and momentum. Try it in Newton's Second Law.</ns0:v>
      </ns0:c>
      <ns0:c r="F152" s="9" t="str">
        <ns0:f>HYPERLINK("https://physics.aimersociety.com/concepts?concept=c9-newton-laws","https://physics.aimersociety.com/concepts?concept=c9-newton-laws")</ns0:f>
        <ns0:v>https://physics.aimersociety.com/concepts?concept=c9-newton-laws</ns0:v>
      </ns0:c>
      <ns0:c r="G152" s="8" t="str">
        <ns0:v>/concepts?concept=c9-newton-laws</ns0:v>
      </ns0:c>
      <ns0:c r="H152" s="8" t="str">
        <ns0:v>src/lib/appDirectory.ts</ns0:v>
      </ns0:c>
      <ns0:c r="I152" s="8" t="str"/>
    </ns0:row>
    <ns0:row r="153" ht="82" customHeight="1">
      <ns0:c r="A153" s="8" t="n">
        <ns0:v>147</ns0:v>
      </ns0:c>
      <ns0:c r="B153" s="8" t="str">
        <ns0:v>Friction</ns0:v>
      </ns0:c>
      <ns0:c r="C153" s="8" t="str">
        <ns0:v>Mechanics</ns0:v>
      </ns0:c>
      <ns0:c r="D153" s="8" t="str">
        <ns0:v>Linked view</ns0:v>
      </ns0:c>
      <ns0:c r="E153" s="8" t="str">
        <ns0:v>Compare static, sliding, and rolling friction. Try it in Friction.</ns0:v>
      </ns0:c>
      <ns0:c r="F153" s="9" t="str">
        <ns0:f>HYPERLINK("https://physics.aimersociety.com/concepts?concept=c8-friction","https://physics.aimersociety.com/concepts?concept=c8-friction")</ns0:f>
        <ns0:v>https://physics.aimersociety.com/concepts?concept=c8-friction</ns0:v>
      </ns0:c>
      <ns0:c r="G153" s="8" t="str">
        <ns0:v>/concepts?concept=c8-friction</ns0:v>
      </ns0:c>
      <ns0:c r="H153" s="8" t="str">
        <ns0:v>src/lib/appDirectory.ts</ns0:v>
      </ns0:c>
      <ns0:c r="I153" s="8" t="str"/>
    </ns0:row>
    <ns0:row r="154" ht="82" customHeight="1">
      <ns0:c r="A154" s="8" t="n">
        <ns0:v>148</ns0:v>
      </ns0:c>
      <ns0:c r="B154" s="8" t="str">
        <ns0:v>Gravitation and Free Fall</ns0:v>
      </ns0:c>
      <ns0:c r="C154" s="8" t="str">
        <ns0:v>Mechanics</ns0:v>
      </ns0:c>
      <ns0:c r="D154" s="8" t="str">
        <ns0:v>Linked view</ns0:v>
      </ns0:c>
      <ns0:c r="E154" s="8" t="str">
        <ns0:v>Compare mass and weight. Try it in Free Fall.</ns0:v>
      </ns0:c>
      <ns0:c r="F154" s="9" t="str">
        <ns0:f>HYPERLINK("https://physics.aimersociety.com/concepts?concept=c9-gravitation","https://physics.aimersociety.com/concepts?concept=c9-gravitation")</ns0:f>
        <ns0:v>https://physics.aimersociety.com/concepts?concept=c9-gravitation</ns0:v>
      </ns0:c>
      <ns0:c r="G154" s="8" t="str">
        <ns0:v>/concepts?concept=c9-gravitation</ns0:v>
      </ns0:c>
      <ns0:c r="H154" s="8" t="str">
        <ns0:v>src/lib/appDirectory.ts</ns0:v>
      </ns0:c>
      <ns0:c r="I154" s="8" t="str"/>
    </ns0:row>
    <ns0:row r="155" ht="82" customHeight="1">
      <ns0:c r="A155" s="8" t="n">
        <ns0:v>149</ns0:v>
      </ns0:c>
      <ns0:c r="B155" s="8" t="str">
        <ns0:v>Kinematics Labs</ns0:v>
      </ns0:c>
      <ns0:c r="C155" s="8" t="str">
        <ns0:v>Mechanics</ns0:v>
      </ns0:c>
      <ns0:c r="D155" s="8" t="str">
        <ns0:v>Linked view</ns0:v>
      </ns0:c>
      <ns0:c r="E155" s="8" t="str">
        <ns0:v>Launch motion, projectile, and free-fall experiments.</ns0:v>
      </ns0:c>
      <ns0:c r="F155" s="9" t="str">
        <ns0:f>HYPERLINK("https://physics.aimersociety.com/experiments?category=Mechanics","https://physics.aimersociety.com/experiments?category=Mechanics")</ns0:f>
        <ns0:v>https://physics.aimersociety.com/experiments?category=Mechanics</ns0:v>
      </ns0:c>
      <ns0:c r="G155" s="8" t="str">
        <ns0:v>/experiments?category=Mechanics</ns0:v>
      </ns0:c>
      <ns0:c r="H155" s="8" t="str">
        <ns0:v>src/lib/appDirectory.ts</ns0:v>
      </ns0:c>
      <ns0:c r="I155" s="8" t="str"/>
    </ns0:row>
    <ns0:row r="156" ht="82" customHeight="1">
      <ns0:c r="A156" s="8" t="n">
        <ns0:v>150</ns0:v>
      </ns0:c>
      <ns0:c r="B156" s="8" t="str">
        <ns0:v>Laws of Motion</ns0:v>
      </ns0:c>
      <ns0:c r="C156" s="8" t="str">
        <ns0:v>Mechanics</ns0:v>
      </ns0:c>
      <ns0:c r="D156" s="8" t="str">
        <ns0:v>Linked view</ns0:v>
      </ns0:c>
      <ns0:c r="E156" s="8" t="str">
        <ns0:v>Apply Newton's laws with friction and circular motion. Try it in Newton's Second Law.</ns0:v>
      </ns0:c>
      <ns0:c r="F156" s="9" t="str">
        <ns0:f>HYPERLINK("https://physics.aimersociety.com/concepts?concept=c11-laws-motion","https://physics.aimersociety.com/concepts?concept=c11-laws-motion")</ns0:f>
        <ns0:v>https://physics.aimersociety.com/concepts?concept=c11-laws-motion</ns0:v>
      </ns0:c>
      <ns0:c r="G156" s="8" t="str">
        <ns0:v>/concepts?concept=c11-laws-motion</ns0:v>
      </ns0:c>
      <ns0:c r="H156" s="8" t="str">
        <ns0:v>src/lib/appDirectory.ts</ns0:v>
      </ns0:c>
      <ns0:c r="I156" s="8" t="str"/>
    </ns0:row>
    <ns0:row r="157" ht="82" customHeight="1">
      <ns0:c r="A157" s="8" t="n">
        <ns0:v>151</ns0:v>
      </ns0:c>
      <ns0:c r="B157" s="8" t="str">
        <ns0:v>Motion in a Plane</ns0:v>
      </ns0:c>
      <ns0:c r="C157" s="8" t="str">
        <ns0:v>Mechanics</ns0:v>
      </ns0:c>
      <ns0:c r="D157" s="8" t="str">
        <ns0:v>Linked view</ns0:v>
      </ns0:c>
      <ns0:c r="E157" s="8" t="str">
        <ns0:v>Resolve vectors. Try it in Projectile Motion.</ns0:v>
      </ns0:c>
      <ns0:c r="F157" s="9" t="str">
        <ns0:f>HYPERLINK("https://physics.aimersociety.com/concepts?concept=c11-plane-motion","https://physics.aimersociety.com/concepts?concept=c11-plane-motion")</ns0:f>
        <ns0:v>https://physics.aimersociety.com/concepts?concept=c11-plane-motion</ns0:v>
      </ns0:c>
      <ns0:c r="G157" s="8" t="str">
        <ns0:v>/concepts?concept=c11-plane-motion</ns0:v>
      </ns0:c>
      <ns0:c r="H157" s="8" t="str">
        <ns0:v>src/lib/appDirectory.ts</ns0:v>
      </ns0:c>
      <ns0:c r="I157" s="8" t="str"/>
    </ns0:row>
    <ns0:row r="158" ht="82" customHeight="1">
      <ns0:c r="A158" s="8" t="n">
        <ns0:v>152</ns0:v>
      </ns0:c>
      <ns0:c r="B158" s="8" t="str">
        <ns0:v>Motion in a Straight Line</ns0:v>
      </ns0:c>
      <ns0:c r="C158" s="8" t="str">
        <ns0:v>Mechanics</ns0:v>
      </ns0:c>
      <ns0:c r="D158" s="8" t="str">
        <ns0:v>Linked view</ns0:v>
      </ns0:c>
      <ns0:c r="E158" s="8" t="str">
        <ns0:v>Connect calculus and graphs to motion. Try it in Uniform Motion.</ns0:v>
      </ns0:c>
      <ns0:c r="F158" s="9" t="str">
        <ns0:f>HYPERLINK("https://physics.aimersociety.com/concepts?concept=c11-straight-line","https://physics.aimersociety.com/concepts?concept=c11-straight-line")</ns0:f>
        <ns0:v>https://physics.aimersociety.com/concepts?concept=c11-straight-line</ns0:v>
      </ns0:c>
      <ns0:c r="G158" s="8" t="str">
        <ns0:v>/concepts?concept=c11-straight-line</ns0:v>
      </ns0:c>
      <ns0:c r="H158" s="8" t="str">
        <ns0:v>src/lib/appDirectory.ts</ns0:v>
      </ns0:c>
      <ns0:c r="I158" s="8" t="str"/>
    </ns0:row>
    <ns0:row r="159" ht="82" customHeight="1">
      <ns0:c r="A159" s="8" t="n">
        <ns0:v>153</ns0:v>
      </ns0:c>
      <ns0:c r="B159" s="8" t="str">
        <ns0:v>Motion in One Dimension</ns0:v>
      </ns0:c>
      <ns0:c r="C159" s="8" t="str">
        <ns0:v>Mechanics</ns0:v>
      </ns0:c>
      <ns0:c r="D159" s="8" t="str">
        <ns0:v>Linked view</ns0:v>
      </ns0:c>
      <ns0:c r="E159" s="8" t="str">
        <ns0:v>Analyse displacement, velocity, and acceleration. Try it in Uniform Motion.</ns0:v>
      </ns0:c>
      <ns0:c r="F159" s="9" t="str">
        <ns0:f>HYPERLINK("https://physics.aimersociety.com/concepts?concept=c9-motion","https://physics.aimersociety.com/concepts?concept=c9-motion")</ns0:f>
        <ns0:v>https://physics.aimersociety.com/concepts?concept=c9-motion</ns0:v>
      </ns0:c>
      <ns0:c r="G159" s="8" t="str">
        <ns0:v>/concepts?concept=c9-motion</ns0:v>
      </ns0:c>
      <ns0:c r="H159" s="8" t="str">
        <ns0:v>src/lib/appDirectory.ts</ns0:v>
      </ns0:c>
      <ns0:c r="I159" s="8" t="str"/>
    </ns0:row>
    <ns0:row r="160" ht="82" customHeight="1">
      <ns0:c r="A160" s="8" t="n">
        <ns0:v>154</ns0:v>
      </ns0:c>
      <ns0:c r="B160" s="8" t="str">
        <ns0:v>Rotational Motion</ns0:v>
      </ns0:c>
      <ns0:c r="C160" s="8" t="str">
        <ns0:v>Mechanics</ns0:v>
      </ns0:c>
      <ns0:c r="D160" s="8" t="str">
        <ns0:v>Linked view</ns0:v>
      </ns0:c>
      <ns0:c r="E160" s="8" t="str">
        <ns0:v>Relate torque, angular momentum, and moment of inertia. Try it in Rotational Dynamics.</ns0:v>
      </ns0:c>
      <ns0:c r="F160" s="9" t="str">
        <ns0:f>HYPERLINK("https://physics.aimersociety.com/concepts?concept=c11-rotation","https://physics.aimersociety.com/concepts?concept=c11-rotation")</ns0:f>
        <ns0:v>https://physics.aimersociety.com/concepts?concept=c11-rotation</ns0:v>
      </ns0:c>
      <ns0:c r="G160" s="8" t="str">
        <ns0:v>/concepts?concept=c11-rotation</ns0:v>
      </ns0:c>
      <ns0:c r="H160" s="8" t="str">
        <ns0:v>src/lib/appDirectory.ts</ns0:v>
      </ns0:c>
      <ns0:c r="I160" s="8" t="str"/>
    </ns0:row>
    <ns0:row r="161" ht="82" customHeight="1">
      <ns0:c r="A161" s="8" t="n">
        <ns0:v>155</ns0:v>
      </ns0:c>
      <ns0:c r="B161" s="8" t="str">
        <ns0:v>Speed, Distance, and Time</ns0:v>
      </ns0:c>
      <ns0:c r="C161" s="8" t="str">
        <ns0:v>Mechanics</ns0:v>
      </ns0:c>
      <ns0:c r="D161" s="8" t="str">
        <ns0:v>Linked view</ns0:v>
      </ns0:c>
      <ns0:c r="E161" s="8" t="str">
        <ns0:v>Calculate speed from distance and time. Try it in Uniform Motion.</ns0:v>
      </ns0:c>
      <ns0:c r="F161" s="9" t="str">
        <ns0:f>HYPERLINK("https://physics.aimersociety.com/concepts?concept=c7-speed","https://physics.aimersociety.com/concepts?concept=c7-speed")</ns0:f>
        <ns0:v>https://physics.aimersociety.com/concepts?concept=c7-speed</ns0:v>
      </ns0:c>
      <ns0:c r="G161" s="8" t="str">
        <ns0:v>/concepts?concept=c7-speed</ns0:v>
      </ns0:c>
      <ns0:c r="H161" s="8" t="str">
        <ns0:v>src/lib/appDirectory.ts</ns0:v>
      </ns0:c>
      <ns0:c r="I161" s="8" t="str"/>
    </ns0:row>
    <ns0:row r="162" ht="82" customHeight="1">
      <ns0:c r="A162" s="8" t="n">
        <ns0:v>156</ns0:v>
      </ns0:c>
      <ns0:c r="B162" s="8" t="str">
        <ns0:v>Work, Energy, and Power</ns0:v>
      </ns0:c>
      <ns0:c r="C162" s="8" t="str">
        <ns0:v>Mechanics</ns0:v>
      </ns0:c>
      <ns0:c r="D162" s="8" t="str">
        <ns0:v>Linked view</ns0:v>
      </ns0:c>
      <ns0:c r="E162" s="8" t="str">
        <ns0:v>Calculate work, kinetic energy, potential energy, and power. Try it in Conservation of Energy.</ns0:v>
      </ns0:c>
      <ns0:c r="F162" s="9" t="str">
        <ns0:f>HYPERLINK("https://physics.aimersociety.com/concepts?concept=c9-work-energy","https://physics.aimersociety.com/concepts?concept=c9-work-energy")</ns0:f>
        <ns0:v>https://physics.aimersociety.com/concepts?concept=c9-work-energy</ns0:v>
      </ns0:c>
      <ns0:c r="G162" s="8" t="str">
        <ns0:v>/concepts?concept=c9-work-energy</ns0:v>
      </ns0:c>
      <ns0:c r="H162" s="8" t="str">
        <ns0:v>src/lib/appDirectory.ts</ns0:v>
      </ns0:c>
      <ns0:c r="I162" s="8" t="str"/>
    </ns0:row>
    <ns0:row r="163" ht="82" customHeight="1">
      <ns0:c r="A163" s="8" t="n">
        <ns0:v>157</ns0:v>
      </ns0:c>
      <ns0:c r="B163" s="8" t="str">
        <ns0:v>Work, Energy, Power, and Collisions</ns0:v>
      </ns0:c>
      <ns0:c r="C163" s="8" t="str">
        <ns0:v>Mechanics</ns0:v>
      </ns0:c>
      <ns0:c r="D163" s="8" t="str">
        <ns0:v>Linked view</ns0:v>
      </ns0:c>
      <ns0:c r="E163" s="8" t="str">
        <ns0:v>Apply work-energy theorem. Try it in Conservation of Energy.</ns0:v>
      </ns0:c>
      <ns0:c r="F163" s="9" t="str">
        <ns0:f>HYPERLINK("https://physics.aimersociety.com/concepts?concept=c11-energy-collisions","https://physics.aimersociety.com/concepts?concept=c11-energy-collisions")</ns0:f>
        <ns0:v>https://physics.aimersociety.com/concepts?concept=c11-energy-collisions</ns0:v>
      </ns0:c>
      <ns0:c r="G163" s="8" t="str">
        <ns0:v>/concepts?concept=c11-energy-collisions</ns0:v>
      </ns0:c>
      <ns0:c r="H163" s="8" t="str">
        <ns0:v>src/lib/appDirectory.ts</ns0:v>
      </ns0:c>
      <ns0:c r="I163" s="8" t="str"/>
    </ns0:row>
    <ns0:row r="164" ht="82" customHeight="1">
      <ns0:c r="A164" s="8" t="n">
        <ns0:v>158</ns0:v>
      </ns0:c>
      <ns0:c r="B164" s="8" t="str">
        <ns0:v>Relativity &amp; Spacetime</ns0:v>
      </ns0:c>
      <ns0:c r="C164" s="8" t="str">
        <ns0:v>Modern &amp; Quantum</ns0:v>
      </ns0:c>
      <ns0:c r="D164" s="8" t="str">
        <ns0:v>Linked view</ns0:v>
      </ns0:c>
      <ns0:c r="E164" s="8" t="str">
        <ns0:v>Mass-energy, curved spacetime, GPS correction, and relativistic effects.</ns0:v>
      </ns0:c>
      <ns0:c r="F164" s="9" t="str">
        <ns0:f>HYPERLINK("https://physics.aimersociety.com/dictionary?q=relativity","https://physics.aimersociety.com/dictionary?q=relativity")</ns0:f>
        <ns0:v>https://physics.aimersociety.com/dictionary?q=relativity</ns0:v>
      </ns0:c>
      <ns0:c r="G164" s="8" t="str">
        <ns0:v>/dictionary?q=relativity</ns0:v>
      </ns0:c>
      <ns0:c r="H164" s="8" t="str">
        <ns0:v>src/lib/appDirectory.ts</ns0:v>
      </ns0:c>
      <ns0:c r="I164" s="8" t="str"/>
    </ns0:row>
    <ns0:row r="165" ht="82" customHeight="1">
      <ns0:c r="A165" s="8" t="n">
        <ns0:v>159</ns0:v>
      </ns0:c>
      <ns0:c r="B165" s="8" t="str">
        <ns0:v>Advanced Quantum Mechanics</ns0:v>
      </ns0:c>
      <ns0:c r="C165" s="8" t="str">
        <ns0:v>Modern Physics</ns0:v>
      </ns0:c>
      <ns0:c r="D165" s="8" t="str">
        <ns0:v>Linked view</ns0:v>
      </ns0:c>
      <ns0:c r="E165" s="8" t="str">
        <ns0:v>Cover operators, spin, perturbation, scattering, and identical particles. Try it in Advanced Quantum Operators.</ns0:v>
      </ns0:c>
      <ns0:c r="F165" s="9" t="str">
        <ns0:f>HYPERLINK("https://physics.aimersociety.com/concepts?concept=pg-advanced-quantum","https://physics.aimersociety.com/concepts?concept=pg-advanced-quantum")</ns0:f>
        <ns0:v>https://physics.aimersociety.com/concepts?concept=pg-advanced-quantum</ns0:v>
      </ns0:c>
      <ns0:c r="G165" s="8" t="str">
        <ns0:v>/concepts?concept=pg-advanced-quantum</ns0:v>
      </ns0:c>
      <ns0:c r="H165" s="8" t="str">
        <ns0:v>src/lib/appDirectory.ts</ns0:v>
      </ns0:c>
      <ns0:c r="I165" s="8" t="str"/>
    </ns0:row>
    <ns0:row r="166" ht="82" customHeight="1">
      <ns0:c r="A166" s="8" t="n">
        <ns0:v>160</ns0:v>
      </ns0:c>
      <ns0:c r="B166" s="8" t="str">
        <ns0:v>Dual Nature, Atoms, and Nuclei</ns0:v>
      </ns0:c>
      <ns0:c r="C166" s="8" t="str">
        <ns0:v>Modern Physics</ns0:v>
      </ns0:c>
      <ns0:c r="D166" s="8" t="str">
        <ns0:v>Linked view</ns0:v>
      </ns0:c>
      <ns0:c r="E166" s="8" t="str">
        <ns0:v>Use photoelectric equation and de Broglie wavelength. Try it in Photoelectric Equation.</ns0:v>
      </ns0:c>
      <ns0:c r="F166" s="9" t="str">
        <ns0:f>HYPERLINK("https://physics.aimersociety.com/concepts?concept=c12-dual-atoms","https://physics.aimersociety.com/concepts?concept=c12-dual-atoms")</ns0:f>
        <ns0:v>https://physics.aimersociety.com/concepts?concept=c12-dual-atoms</ns0:v>
      </ns0:c>
      <ns0:c r="G166" s="8" t="str">
        <ns0:v>/concepts?concept=c12-dual-atoms</ns0:v>
      </ns0:c>
      <ns0:c r="H166" s="8" t="str">
        <ns0:v>src/lib/appDirectory.ts</ns0:v>
      </ns0:c>
      <ns0:c r="I166" s="8" t="str"/>
    </ns0:row>
    <ns0:row r="167" ht="82" customHeight="1">
      <ns0:c r="A167" s="8" t="n">
        <ns0:v>161</ns0:v>
      </ns0:c>
      <ns0:c r="B167" s="8" t="str">
        <ns0:v>Nuclear and Particle Physics</ns0:v>
      </ns0:c>
      <ns0:c r="C167" s="8" t="str">
        <ns0:v>Modern Physics</ns0:v>
      </ns0:c>
      <ns0:c r="D167" s="8" t="str">
        <ns0:v>Linked view</ns0:v>
      </ns0:c>
      <ns0:c r="E167" s="8" t="str">
        <ns0:v>Explore decay, scattering, detectors, and conservation laws. Try it in Nuclear Decay and Half-Life.</ns0:v>
      </ns0:c>
      <ns0:c r="F167" s="9" t="str">
        <ns0:f>HYPERLINK("https://physics.aimersociety.com/concepts?concept=pg-nuclear-particle","https://physics.aimersociety.com/concepts?concept=pg-nuclear-particle")</ns0:f>
        <ns0:v>https://physics.aimersociety.com/concepts?concept=pg-nuclear-particle</ns0:v>
      </ns0:c>
      <ns0:c r="G167" s="8" t="str">
        <ns0:v>/concepts?concept=pg-nuclear-particle</ns0:v>
      </ns0:c>
      <ns0:c r="H167" s="8" t="str">
        <ns0:v>src/lib/appDirectory.ts</ns0:v>
      </ns0:c>
      <ns0:c r="I167" s="8" t="str"/>
    </ns0:row>
    <ns0:row r="168" ht="82" customHeight="1">
      <ns0:c r="A168" s="8" t="n">
        <ns0:v>162</ns0:v>
      </ns0:c>
      <ns0:c r="B168" s="8" t="str">
        <ns0:v>Quantum Information</ns0:v>
      </ns0:c>
      <ns0:c r="C168" s="8" t="str">
        <ns0:v>Modern Physics</ns0:v>
      </ns0:c>
      <ns0:c r="D168" s="8" t="str">
        <ns0:v>Linked view</ns0:v>
      </ns0:c>
      <ns0:c r="E168" s="8" t="str">
        <ns0:v>Explore qubits, gates, entanglement, and measurement. Try it in Logic Gates.</ns0:v>
      </ns0:c>
      <ns0:c r="F168" s="9" t="str">
        <ns0:f>HYPERLINK("https://physics.aimersociety.com/concepts?concept=phd-quantum-info","https://physics.aimersociety.com/concepts?concept=phd-quantum-info")</ns0:f>
        <ns0:v>https://physics.aimersociety.com/concepts?concept=phd-quantum-info</ns0:v>
      </ns0:c>
      <ns0:c r="G168" s="8" t="str">
        <ns0:v>/concepts?concept=phd-quantum-info</ns0:v>
      </ns0:c>
      <ns0:c r="H168" s="8" t="str">
        <ns0:v>src/lib/appDirectory.ts</ns0:v>
      </ns0:c>
      <ns0:c r="I168" s="8" t="str"/>
    </ns0:row>
    <ns0:row r="169" ht="82" customHeight="1">
      <ns0:c r="A169" s="8" t="n">
        <ns0:v>163</ns0:v>
      </ns0:c>
      <ns0:c r="B169" s="8" t="str">
        <ns0:v>Quantum Mechanics</ns0:v>
      </ns0:c>
      <ns0:c r="C169" s="8" t="str">
        <ns0:v>Modern Physics</ns0:v>
      </ns0:c>
      <ns0:c r="D169" s="8" t="str">
        <ns0:v>Linked view</ns0:v>
      </ns0:c>
      <ns0:c r="E169" s="8" t="str">
        <ns0:v>Explore wave-particle duality, wells, tunneling, and atomic spectra. Try it in Photoelectric Equation.</ns0:v>
      </ns0:c>
      <ns0:c r="F169" s="9" t="str">
        <ns0:f>HYPERLINK("https://physics.aimersociety.com/concepts?concept=ug-quantum","https://physics.aimersociety.com/concepts?concept=ug-quantum")</ns0:f>
        <ns0:v>https://physics.aimersociety.com/concepts?concept=ug-quantum</ns0:v>
      </ns0:c>
      <ns0:c r="G169" s="8" t="str">
        <ns0:v>/concepts?concept=ug-quantum</ns0:v>
      </ns0:c>
      <ns0:c r="H169" s="8" t="str">
        <ns0:v>src/lib/appDirectory.ts</ns0:v>
      </ns0:c>
      <ns0:c r="I169" s="8" t="str"/>
    </ns0:row>
    <ns0:row r="170" ht="82" customHeight="1">
      <ns0:c r="A170" s="8" t="n">
        <ns0:v>164</ns0:v>
      </ns0:c>
      <ns0:c r="B170" s="8" t="str">
        <ns0:v>Special Relativity Bridge</ns0:v>
      </ns0:c>
      <ns0:c r="C170" s="8" t="str">
        <ns0:v>Modern Physics</ns0:v>
      </ns0:c>
      <ns0:c r="D170" s="8" t="str">
        <ns0:v>Linked view</ns0:v>
      </ns0:c>
      <ns0:c r="E170" s="8" t="str">
        <ns0:v>Compare proper time, measured time, and relativistic energy at high speed. Try it in Special Relativity Bridge.</ns0:v>
      </ns0:c>
      <ns0:c r="F170" s="9" t="str">
        <ns0:f>HYPERLINK("https://physics.aimersociety.com/concepts?concept=c12-relativity-bridge","https://physics.aimersociety.com/concepts?concept=c12-relativity-bridge")</ns0:f>
        <ns0:v>https://physics.aimersociety.com/concepts?concept=c12-relativity-bridge</ns0:v>
      </ns0:c>
      <ns0:c r="G170" s="8" t="str">
        <ns0:v>/concepts?concept=c12-relativity-bridge</ns0:v>
      </ns0:c>
      <ns0:c r="H170" s="8" t="str">
        <ns0:v>src/lib/appDirectory.ts</ns0:v>
      </ns0:c>
      <ns0:c r="I170" s="8" t="str"/>
    </ns0:row>
    <ns0:row r="171" ht="82" customHeight="1">
      <ns0:c r="A171" s="8" t="n">
        <ns0:v>165</ns0:v>
      </ns0:c>
      <ns0:c r="B171" s="8" t="str">
        <ns0:v>Glass Slab and Prism</ns0:v>
      </ns0:c>
      <ns0:c r="C171" s="8" t="str">
        <ns0:v>Optics</ns0:v>
      </ns0:c>
      <ns0:c r="D171" s="8" t="str">
        <ns0:v>Linked view</ns0:v>
      </ns0:c>
      <ns0:c r="E171" s="8" t="str">
        <ns0:v>Trace refraction through glass slab. Try it in Glass Slab Refraction.</ns0:v>
      </ns0:c>
      <ns0:c r="F171" s="9" t="str">
        <ns0:f>HYPERLINK("https://physics.aimersociety.com/concepts?concept=c10-glass-prism","https://physics.aimersociety.com/concepts?concept=c10-glass-prism")</ns0:f>
        <ns0:v>https://physics.aimersociety.com/concepts?concept=c10-glass-prism</ns0:v>
      </ns0:c>
      <ns0:c r="G171" s="8" t="str">
        <ns0:v>/concepts?concept=c10-glass-prism</ns0:v>
      </ns0:c>
      <ns0:c r="H171" s="8" t="str">
        <ns0:v>src/lib/appDirectory.ts</ns0:v>
      </ns0:c>
      <ns0:c r="I171" s="8" t="str"/>
    </ns0:row>
    <ns0:row r="172" ht="82" customHeight="1">
      <ns0:c r="A172" s="8" t="n">
        <ns0:v>166</ns0:v>
      </ns0:c>
      <ns0:c r="B172" s="8" t="str">
        <ns0:v>Human Eye and Defects</ns0:v>
      </ns0:c>
      <ns0:c r="C172" s="8" t="str">
        <ns0:v>Optics</ns0:v>
      </ns0:c>
      <ns0:c r="D172" s="8" t="str">
        <ns0:v>Linked view</ns0:v>
      </ns0:c>
      <ns0:c r="E172" s="8" t="str">
        <ns0:v>Model myopia, hypermetropia, and correction. Try it in Human Eye and Vision Defects.</ns0:v>
      </ns0:c>
      <ns0:c r="F172" s="9" t="str">
        <ns0:f>HYPERLINK("https://physics.aimersociety.com/concepts?concept=c10-human-eye","https://physics.aimersociety.com/concepts?concept=c10-human-eye")</ns0:f>
        <ns0:v>https://physics.aimersociety.com/concepts?concept=c10-human-eye</ns0:v>
      </ns0:c>
      <ns0:c r="G172" s="8" t="str">
        <ns0:v>/concepts?concept=c10-human-eye</ns0:v>
      </ns0:c>
      <ns0:c r="H172" s="8" t="str">
        <ns0:v>src/lib/appDirectory.ts</ns0:v>
      </ns0:c>
      <ns0:c r="I172" s="8" t="str"/>
    </ns0:row>
    <ns0:row r="173" ht="82" customHeight="1">
      <ns0:c r="A173" s="8" t="n">
        <ns0:v>167</ns0:v>
      </ns0:c>
      <ns0:c r="B173" s="8" t="str">
        <ns0:v>Images by Lenses</ns0:v>
      </ns0:c>
      <ns0:c r="C173" s="8" t="str">
        <ns0:v>Optics</ns0:v>
      </ns0:c>
      <ns0:c r="D173" s="8" t="str">
        <ns0:v>Linked view</ns0:v>
      </ns0:c>
      <ns0:c r="E173" s="8" t="str">
        <ns0:v>Observe how lenses bend light. Try it in Lens Formula.</ns0:v>
      </ns0:c>
      <ns0:c r="F173" s="9" t="str">
        <ns0:f>HYPERLINK("https://physics.aimersociety.com/concepts?concept=c7-lenses","https://physics.aimersociety.com/concepts?concept=c7-lenses")</ns0:f>
        <ns0:v>https://physics.aimersociety.com/concepts?concept=c7-lenses</ns0:v>
      </ns0:c>
      <ns0:c r="G173" s="8" t="str">
        <ns0:v>/concepts?concept=c7-lenses</ns0:v>
      </ns0:c>
      <ns0:c r="H173" s="8" t="str">
        <ns0:v>src/lib/appDirectory.ts</ns0:v>
      </ns0:c>
      <ns0:c r="I173" s="8" t="str"/>
    </ns0:row>
    <ns0:row r="174" ht="82" customHeight="1">
      <ns0:c r="A174" s="8" t="n">
        <ns0:v>168</ns0:v>
      </ns0:c>
      <ns0:c r="B174" s="8" t="str">
        <ns0:v>Light and Multiple Reflection</ns0:v>
      </ns0:c>
      <ns0:c r="C174" s="8" t="str">
        <ns0:v>Optics</ns0:v>
      </ns0:c>
      <ns0:c r="D174" s="8" t="str">
        <ns0:v>Linked view</ns0:v>
      </ns0:c>
      <ns0:c r="E174" s="8" t="str">
        <ns0:v>Trace reflection paths. Try it in Reflection by Plane Mirror.</ns0:v>
      </ns0:c>
      <ns0:c r="F174" s="9" t="str">
        <ns0:f>HYPERLINK("https://physics.aimersociety.com/concepts?concept=c8-light","https://physics.aimersociety.com/concepts?concept=c8-light")</ns0:f>
        <ns0:v>https://physics.aimersociety.com/concepts?concept=c8-light</ns0:v>
      </ns0:c>
      <ns0:c r="G174" s="8" t="str">
        <ns0:v>/concepts?concept=c8-light</ns0:v>
      </ns0:c>
      <ns0:c r="H174" s="8" t="str">
        <ns0:v>src/lib/appDirectory.ts</ns0:v>
      </ns0:c>
      <ns0:c r="I174" s="8" t="str"/>
    </ns0:row>
    <ns0:row r="175" ht="82" customHeight="1">
      <ns0:c r="A175" s="8" t="n">
        <ns0:v>169</ns0:v>
      </ns0:c>
      <ns0:c r="B175" s="8" t="str">
        <ns0:v>Light, Shadows, and Reflection</ns0:v>
      </ns0:c>
      <ns0:c r="C175" s="8" t="str">
        <ns0:v>Optics</ns0:v>
      </ns0:c>
      <ns0:c r="D175" s="8" t="str">
        <ns0:v>Linked view</ns0:v>
      </ns0:c>
      <ns0:c r="E175" s="8" t="str">
        <ns0:v>Identify sources, shadows, and simple reflection. Try it in Shadows and Eclipses.</ns0:v>
      </ns0:c>
      <ns0:c r="F175" s="9" t="str">
        <ns0:f>HYPERLINK("https://physics.aimersociety.com/concepts?concept=c6-light-shadows","https://physics.aimersociety.com/concepts?concept=c6-light-shadows")</ns0:f>
        <ns0:v>https://physics.aimersociety.com/concepts?concept=c6-light-shadows</ns0:v>
      </ns0:c>
      <ns0:c r="G175" s="8" t="str">
        <ns0:v>/concepts?concept=c6-light-shadows</ns0:v>
      </ns0:c>
      <ns0:c r="H175" s="8" t="str">
        <ns0:v>src/lib/appDirectory.ts</ns0:v>
      </ns0:c>
      <ns0:c r="I175" s="8" t="str"/>
    </ns0:row>
    <ns0:row r="176" ht="82" customHeight="1">
      <ns0:c r="A176" s="8" t="n">
        <ns0:v>170</ns0:v>
      </ns0:c>
      <ns0:c r="B176" s="8" t="str">
        <ns0:v>Ray Optics and Instruments</ns0:v>
      </ns0:c>
      <ns0:c r="C176" s="8" t="str">
        <ns0:v>Optics</ns0:v>
      </ns0:c>
      <ns0:c r="D176" s="8" t="str">
        <ns0:v>Linked view</ns0:v>
      </ns0:c>
      <ns0:c r="E176" s="8" t="str">
        <ns0:v>Model TIR, lenses, microscopes, and telescopes. Try it in Mirror Formula.</ns0:v>
      </ns0:c>
      <ns0:c r="F176" s="9" t="str">
        <ns0:f>HYPERLINK("https://physics.aimersociety.com/concepts?concept=c12-ray-optics","https://physics.aimersociety.com/concepts?concept=c12-ray-optics")</ns0:f>
        <ns0:v>https://physics.aimersociety.com/concepts?concept=c12-ray-optics</ns0:v>
      </ns0:c>
      <ns0:c r="G176" s="8" t="str">
        <ns0:v>/concepts?concept=c12-ray-optics</ns0:v>
      </ns0:c>
      <ns0:c r="H176" s="8" t="str">
        <ns0:v>src/lib/appDirectory.ts</ns0:v>
      </ns0:c>
      <ns0:c r="I176" s="8" t="str"/>
    </ns0:row>
    <ns0:row r="177" ht="82" customHeight="1">
      <ns0:c r="A177" s="8" t="n">
        <ns0:v>171</ns0:v>
      </ns0:c>
      <ns0:c r="B177" s="8" t="str">
        <ns0:v>Reflection by Mirrors</ns0:v>
      </ns0:c>
      <ns0:c r="C177" s="8" t="str">
        <ns0:v>Optics</ns0:v>
      </ns0:c>
      <ns0:c r="D177" s="8" t="str">
        <ns0:v>Linked view</ns0:v>
      </ns0:c>
      <ns0:c r="E177" s="8" t="str">
        <ns0:v>Trace incident and reflected rays. Try it in Reflection by Plane Mirror.</ns0:v>
      </ns0:c>
      <ns0:c r="F177" s="9" t="str">
        <ns0:f>HYPERLINK("https://physics.aimersociety.com/concepts?concept=c7-reflection","https://physics.aimersociety.com/concepts?concept=c7-reflection")</ns0:f>
        <ns0:v>https://physics.aimersociety.com/concepts?concept=c7-reflection</ns0:v>
      </ns0:c>
      <ns0:c r="G177" s="8" t="str">
        <ns0:v>/concepts?concept=c7-reflection</ns0:v>
      </ns0:c>
      <ns0:c r="H177" s="8" t="str">
        <ns0:v>src/lib/appDirectory.ts</ns0:v>
      </ns0:c>
      <ns0:c r="I177" s="8" t="str"/>
    </ns0:row>
    <ns0:row r="178" ht="82" customHeight="1">
      <ns0:c r="A178" s="8" t="n">
        <ns0:v>172</ns0:v>
      </ns0:c>
      <ns0:c r="B178" s="8" t="str">
        <ns0:v>Reflection by Spherical Mirrors</ns0:v>
      </ns0:c>
      <ns0:c r="C178" s="8" t="str">
        <ns0:v>Optics</ns0:v>
      </ns0:c>
      <ns0:c r="D178" s="8" t="str">
        <ns0:v>Linked view</ns0:v>
      </ns0:c>
      <ns0:c r="E178" s="8" t="str">
        <ns0:v>Construct ray diagrams. Try it in Mirror Formula.</ns0:v>
      </ns0:c>
      <ns0:c r="F178" s="9" t="str">
        <ns0:f>HYPERLINK("https://physics.aimersociety.com/concepts?concept=c10-mirrors","https://physics.aimersociety.com/concepts?concept=c10-mirrors")</ns0:f>
        <ns0:v>https://physics.aimersociety.com/concepts?concept=c10-mirrors</ns0:v>
      </ns0:c>
      <ns0:c r="G178" s="8" t="str">
        <ns0:v>/concepts?concept=c10-mirrors</ns0:v>
      </ns0:c>
      <ns0:c r="H178" s="8" t="str">
        <ns0:v>src/lib/appDirectory.ts</ns0:v>
      </ns0:c>
      <ns0:c r="I178" s="8" t="str"/>
    </ns0:row>
    <ns0:row r="179" ht="82" customHeight="1">
      <ns0:c r="A179" s="8" t="n">
        <ns0:v>173</ns0:v>
      </ns0:c>
      <ns0:c r="B179" s="8" t="str">
        <ns0:v>Refraction by Lenses</ns0:v>
      </ns0:c>
      <ns0:c r="C179" s="8" t="str">
        <ns0:v>Optics</ns0:v>
      </ns0:c>
      <ns0:c r="D179" s="8" t="str">
        <ns0:v>Linked view</ns0:v>
      </ns0:c>
      <ns0:c r="E179" s="8" t="str">
        <ns0:v>Compare convex and concave lens images. Try it in Lens Formula.</ns0:v>
      </ns0:c>
      <ns0:c r="F179" s="9" t="str">
        <ns0:f>HYPERLINK("https://physics.aimersociety.com/concepts?concept=c10-lenses","https://physics.aimersociety.com/concepts?concept=c10-lenses")</ns0:f>
        <ns0:v>https://physics.aimersociety.com/concepts?concept=c10-lenses</ns0:v>
      </ns0:c>
      <ns0:c r="G179" s="8" t="str">
        <ns0:v>/concepts?concept=c10-lenses</ns0:v>
      </ns0:c>
      <ns0:c r="H179" s="8" t="str">
        <ns0:v>src/lib/appDirectory.ts</ns0:v>
      </ns0:c>
      <ns0:c r="I179" s="8" t="str"/>
    </ns0:row>
    <ns0:row r="180" ht="82" customHeight="1">
      <ns0:c r="A180" s="8" t="n">
        <ns0:v>174</ns0:v>
      </ns0:c>
      <ns0:c r="B180" s="8" t="str">
        <ns0:v>Chaotic and Coupled Oscillators</ns0:v>
      </ns0:c>
      <ns0:c r="C180" s="8" t="str">
        <ns0:v>Oscillations</ns0:v>
      </ns0:c>
      <ns0:c r="D180" s="8" t="str">
        <ns0:v>Linked view</ns0:v>
      </ns0:c>
      <ns0:c r="E180" s="8" t="str">
        <ns0:v>Show sensitive dependence on initial conditions in a double pendulum. Try it in Chaotic and Coupled Oscillators.</ns0:v>
      </ns0:c>
      <ns0:c r="F180" s="9" t="str">
        <ns0:f>HYPERLINK("https://physics.aimersociety.com/concepts?concept=c11-chaos-pendulum","https://physics.aimersociety.com/concepts?concept=c11-chaos-pendulum")</ns0:f>
        <ns0:v>https://physics.aimersociety.com/concepts?concept=c11-chaos-pendulum</ns0:v>
      </ns0:c>
      <ns0:c r="G180" s="8" t="str">
        <ns0:v>/concepts?concept=c11-chaos-pendulum</ns0:v>
      </ns0:c>
      <ns0:c r="H180" s="8" t="str">
        <ns0:v>src/lib/appDirectory.ts</ns0:v>
      </ns0:c>
      <ns0:c r="I180" s="8" t="str"/>
    </ns0:row>
    <ns0:row r="181" ht="82" customHeight="1">
      <ns0:c r="A181" s="8" t="n">
        <ns0:v>175</ns0:v>
      </ns0:c>
      <ns0:c r="B181" s="8" t="str">
        <ns0:v>Pendulum and Periodic Motion</ns0:v>
      </ns0:c>
      <ns0:c r="C181" s="8" t="str">
        <ns0:v>Oscillations</ns0:v>
      </ns0:c>
      <ns0:c r="D181" s="8" t="str">
        <ns0:v>Linked view</ns0:v>
      </ns0:c>
      <ns0:c r="E181" s="8" t="str">
        <ns0:v>Observe how period depends on length, not mass. Try it in Simple Pendulum.</ns0:v>
      </ns0:c>
      <ns0:c r="F181" s="9" t="str">
        <ns0:f>HYPERLINK("https://physics.aimersociety.com/concepts?concept=c9-pendulum-intro","https://physics.aimersociety.com/concepts?concept=c9-pendulum-intro")</ns0:f>
        <ns0:v>https://physics.aimersociety.com/concepts?concept=c9-pendulum-intro</ns0:v>
      </ns0:c>
      <ns0:c r="G181" s="8" t="str">
        <ns0:v>/concepts?concept=c9-pendulum-intro</ns0:v>
      </ns0:c>
      <ns0:c r="H181" s="8" t="str">
        <ns0:v>src/lib/appDirectory.ts</ns0:v>
      </ns0:c>
      <ns0:c r="I181" s="8" t="str"/>
    </ns0:row>
    <ns0:row r="182" ht="82" customHeight="1">
      <ns0:c r="A182" s="8" t="n">
        <ns0:v>176</ns0:v>
      </ns0:c>
      <ns0:c r="B182" s="8" t="str">
        <ns0:v>Resonance and Forced Oscillations</ns0:v>
      </ns0:c>
      <ns0:c r="C182" s="8" t="str">
        <ns0:v>Oscillations</ns0:v>
      </ns0:c>
      <ns0:c r="D182" s="8" t="str">
        <ns0:v>Linked view</ns0:v>
      </ns0:c>
      <ns0:c r="E182" s="8" t="str">
        <ns0:v>Explain resonance and damping. Try it in Chladni Plate.</ns0:v>
      </ns0:c>
      <ns0:c r="F182" s="9" t="str">
        <ns0:f>HYPERLINK("https://physics.aimersociety.com/concepts?concept=c11-resonance","https://physics.aimersociety.com/concepts?concept=c11-resonance")</ns0:f>
        <ns0:v>https://physics.aimersociety.com/concepts?concept=c11-resonance</ns0:v>
      </ns0:c>
      <ns0:c r="G182" s="8" t="str">
        <ns0:v>/concepts?concept=c11-resonance</ns0:v>
      </ns0:c>
      <ns0:c r="H182" s="8" t="str">
        <ns0:v>src/lib/appDirectory.ts</ns0:v>
      </ns0:c>
      <ns0:c r="I182" s="8" t="str"/>
    </ns0:row>
    <ns0:row r="183" ht="82" customHeight="1">
      <ns0:c r="A183" s="8" t="n">
        <ns0:v>177</ns0:v>
      </ns0:c>
      <ns0:c r="B183" s="8" t="str">
        <ns0:v>Simple Harmonic Motion - Pendulum and Spring</ns0:v>
      </ns0:c>
      <ns0:c r="C183" s="8" t="str">
        <ns0:v>Oscillations</ns0:v>
      </ns0:c>
      <ns0:c r="D183" s="8" t="str">
        <ns0:v>Linked view</ns0:v>
      </ns0:c>
      <ns0:c r="E183" s="8" t="str">
        <ns0:v>Describe SHM with period, frequency, and amplitude. Try it in Simple Pendulum.</ns0:v>
      </ns0:c>
      <ns0:c r="F183" s="9" t="str">
        <ns0:f>HYPERLINK("https://physics.aimersociety.com/concepts?concept=c11-shm-pendulum","https://physics.aimersociety.com/concepts?concept=c11-shm-pendulum")</ns0:f>
        <ns0:v>https://physics.aimersociety.com/concepts?concept=c11-shm-pendulum</ns0:v>
      </ns0:c>
      <ns0:c r="G183" s="8" t="str">
        <ns0:v>/concepts?concept=c11-shm-pendulum</ns0:v>
      </ns0:c>
      <ns0:c r="H183" s="8" t="str">
        <ns0:v>src/lib/appDirectory.ts</ns0:v>
      </ns0:c>
      <ns0:c r="I183" s="8" t="str"/>
    </ns0:row>
    <ns0:row r="184" ht="82" customHeight="1">
      <ns0:c r="A184" s="8" t="n">
        <ns0:v>178</ns0:v>
      </ns0:c>
      <ns0:c r="B184" s="8" t="str">
        <ns0:v>Launch &amp; Ascent</ns0:v>
      </ns0:c>
      <ns0:c r="C184" s="8" t="str">
        <ns0:v>Rocket Program</ns0:v>
      </ns0:c>
      <ns0:c r="D184" s="8" t="str">
        <ns0:v>Linked view</ns0:v>
      </ns0:c>
      <ns0:c r="E184" s="8" t="str">
        <ns0:v>Countdown, liftoff, ascent, and mission outcomes.</ns0:v>
      </ns0:c>
      <ns0:c r="F184" s="9" t="str">
        <ns0:f>HYPERLINK("https://physics.aimersociety.com/pro-lab/launch-vehicle#launch","https://physics.aimersociety.com/pro-lab/launch-vehicle#launch")</ns0:f>
        <ns0:v>https://physics.aimersociety.com/pro-lab/launch-vehicle#launch</ns0:v>
      </ns0:c>
      <ns0:c r="G184" s="8" t="str">
        <ns0:v>/pro-lab/launch-vehicle#launch</ns0:v>
      </ns0:c>
      <ns0:c r="H184" s="8" t="str">
        <ns0:v>src/lib/appDirectory.ts</ns0:v>
      </ns0:c>
      <ns0:c r="I184" s="8" t="str"/>
    </ns0:row>
    <ns0:row r="185" ht="82" customHeight="1">
      <ns0:c r="A185" s="8" t="n">
        <ns0:v>179</ns0:v>
      </ns0:c>
      <ns0:c r="B185" s="8" t="str">
        <ns0:v>Mission Planner</ns0:v>
      </ns0:c>
      <ns0:c r="C185" s="8" t="str">
        <ns0:v>Rocket Program</ns0:v>
      </ns0:c>
      <ns0:c r="D185" s="8" t="str">
        <ns0:v>Linked view</ns0:v>
      </ns0:c>
      <ns0:c r="E185" s="8" t="str">
        <ns0:v>Configure mission objectives and launch criteria.</ns0:v>
      </ns0:c>
      <ns0:c r="F185" s="9" t="str">
        <ns0:f>HYPERLINK("https://physics.aimersociety.com/pro-lab/launch-vehicle#mission","https://physics.aimersociety.com/pro-lab/launch-vehicle#mission")</ns0:f>
        <ns0:v>https://physics.aimersociety.com/pro-lab/launch-vehicle#mission</ns0:v>
      </ns0:c>
      <ns0:c r="G185" s="8" t="str">
        <ns0:v>/pro-lab/launch-vehicle#mission</ns0:v>
      </ns0:c>
      <ns0:c r="H185" s="8" t="str">
        <ns0:v>src/lib/appDirectory.ts</ns0:v>
      </ns0:c>
      <ns0:c r="I185" s="8" t="str"/>
    </ns0:row>
    <ns0:row r="186" ht="82" customHeight="1">
      <ns0:c r="A186" s="8" t="n">
        <ns0:v>180</ns0:v>
      </ns0:c>
      <ns0:c r="B186" s="8" t="str">
        <ns0:v>Fluid Labs</ns0:v>
      </ns0:c>
      <ns0:c r="C186" s="8" t="str">
        <ns0:v>Thermal &amp; Fluids</ns0:v>
      </ns0:c>
      <ns0:c r="D186" s="8" t="str">
        <ns0:v>Linked view</ns0:v>
      </ns0:c>
      <ns0:c r="E186" s="8" t="str">
        <ns0:v>Open buoyancy, pressure, and flow simulations.</ns0:v>
      </ns0:c>
      <ns0:c r="F186" s="9" t="str">
        <ns0:f>HYPERLINK("https://physics.aimersociety.com/experiments?category=Fluids","https://physics.aimersociety.com/experiments?category=Fluids")</ns0:f>
        <ns0:v>https://physics.aimersociety.com/experiments?category=Fluids</ns0:v>
      </ns0:c>
      <ns0:c r="G186" s="8" t="str">
        <ns0:v>/experiments?category=Fluids</ns0:v>
      </ns0:c>
      <ns0:c r="H186" s="8" t="str">
        <ns0:v>src/lib/appDirectory.ts</ns0:v>
      </ns0:c>
      <ns0:c r="I186" s="8" t="str"/>
    </ns0:row>
    <ns0:row r="187" ht="82" customHeight="1">
      <ns0:c r="A187" s="8" t="n">
        <ns0:v>181</ns0:v>
      </ns0:c>
      <ns0:c r="B187" s="8" t="str">
        <ns0:v>Thermal Labs</ns0:v>
      </ns0:c>
      <ns0:c r="C187" s="8" t="str">
        <ns0:v>Thermal &amp; Fluids</ns0:v>
      </ns0:c>
      <ns0:c r="D187" s="8" t="str">
        <ns0:v>Linked view</ns0:v>
      </ns0:c>
      <ns0:c r="E187" s="8" t="str">
        <ns0:v>Launch heat, gas law, and thermodynamics experiments.</ns0:v>
      </ns0:c>
      <ns0:c r="F187" s="9" t="str">
        <ns0:f>HYPERLINK("https://physics.aimersociety.com/experiments?category=Thermodynamics","https://physics.aimersociety.com/experiments?category=Thermodynamics")</ns0:f>
        <ns0:v>https://physics.aimersociety.com/experiments?category=Thermodynamics</ns0:v>
      </ns0:c>
      <ns0:c r="G187" s="8" t="str">
        <ns0:v>/experiments?category=Thermodynamics</ns0:v>
      </ns0:c>
      <ns0:c r="H187" s="8" t="str">
        <ns0:v>src/lib/appDirectory.ts</ns0:v>
      </ns0:c>
      <ns0:c r="I187" s="8" t="str"/>
    </ns0:row>
    <ns0:row r="188" ht="82" customHeight="1">
      <ns0:c r="A188" s="8" t="n">
        <ns0:v>182</ns0:v>
      </ns0:c>
      <ns0:c r="B188" s="8" t="str">
        <ns0:v>Heat and Temperature</ns0:v>
      </ns0:c>
      <ns0:c r="C188" s="8" t="str">
        <ns0:v>Thermodynamics</ns0:v>
      </ns0:c>
      <ns0:c r="D188" s="8" t="str">
        <ns0:v>Linked view</ns0:v>
      </ns0:c>
      <ns0:c r="E188" s="8" t="str">
        <ns0:v>Distinguish heat from temperature. Try it in Heat and Temperature.</ns0:v>
      </ns0:c>
      <ns0:c r="F188" s="9" t="str">
        <ns0:f>HYPERLINK("https://physics.aimersociety.com/concepts?concept=c7-heat-temperature","https://physics.aimersociety.com/concepts?concept=c7-heat-temperature")</ns0:f>
        <ns0:v>https://physics.aimersociety.com/concepts?concept=c7-heat-temperature</ns0:v>
      </ns0:c>
      <ns0:c r="G188" s="8" t="str">
        <ns0:v>/concepts?concept=c7-heat-temperature</ns0:v>
      </ns0:c>
      <ns0:c r="H188" s="8" t="str">
        <ns0:v>src/lib/appDirectory.ts</ns0:v>
      </ns0:c>
      <ns0:c r="I188" s="8" t="str"/>
    </ns0:row>
    <ns0:row r="189" ht="82" customHeight="1">
      <ns0:c r="A189" s="8" t="n">
        <ns0:v>183</ns0:v>
      </ns0:c>
      <ns0:c r="B189" s="8" t="str">
        <ns0:v>Kinetic Theory</ns0:v>
      </ns0:c>
      <ns0:c r="C189" s="8" t="str">
        <ns0:v>Thermodynamics</ns0:v>
      </ns0:c>
      <ns0:c r="D189" s="8" t="str">
        <ns0:v>Linked view</ns0:v>
      </ns0:c>
      <ns0:c r="E189" s="8" t="str">
        <ns0:v>Relate molecular motion to pressure and temperature. Try it in Gas Laws and Kinetic Theory.</ns0:v>
      </ns0:c>
      <ns0:c r="F189" s="9" t="str">
        <ns0:f>HYPERLINK("https://physics.aimersociety.com/concepts?concept=c11-kinetic-theory","https://physics.aimersociety.com/concepts?concept=c11-kinetic-theory")</ns0:f>
        <ns0:v>https://physics.aimersociety.com/concepts?concept=c11-kinetic-theory</ns0:v>
      </ns0:c>
      <ns0:c r="G189" s="8" t="str">
        <ns0:v>/concepts?concept=c11-kinetic-theory</ns0:v>
      </ns0:c>
      <ns0:c r="H189" s="8" t="str">
        <ns0:v>src/lib/appDirectory.ts</ns0:v>
      </ns0:c>
      <ns0:c r="I189" s="8" t="str"/>
    </ns0:row>
    <ns0:row r="190" ht="82" customHeight="1">
      <ns0:c r="A190" s="8" t="n">
        <ns0:v>184</ns0:v>
      </ns0:c>
      <ns0:c r="B190" s="8" t="str">
        <ns0:v>Statistical and Thermal Physics</ns0:v>
      </ns0:c>
      <ns0:c r="C190" s="8" t="str">
        <ns0:v>Thermodynamics</ns0:v>
      </ns0:c>
      <ns0:c r="D190" s="8" t="str">
        <ns0:v>Linked view</ns0:v>
      </ns0:c>
      <ns0:c r="E190" s="8" t="str">
        <ns0:v>Connect microscopic states to temperature, pressure, entropy, and heat flow. Try it in Gas Laws and Kinetic Theory.</ns0:v>
      </ns0:c>
      <ns0:c r="F190" s="9" t="str">
        <ns0:f>HYPERLINK("https://physics.aimersociety.com/concepts?concept=ug-stat-thermal","https://physics.aimersociety.com/concepts?concept=ug-stat-thermal")</ns0:f>
        <ns0:v>https://physics.aimersociety.com/concepts?concept=ug-stat-thermal</ns0:v>
      </ns0:c>
      <ns0:c r="G190" s="8" t="str">
        <ns0:v>/concepts?concept=ug-stat-thermal</ns0:v>
      </ns0:c>
      <ns0:c r="H190" s="8" t="str">
        <ns0:v>src/lib/appDirectory.ts</ns0:v>
      </ns0:c>
      <ns0:c r="I190" s="8" t="str"/>
    </ns0:row>
    <ns0:row r="191" ht="82" customHeight="1">
      <ns0:c r="A191" s="8" t="n">
        <ns0:v>185</ns0:v>
      </ns0:c>
      <ns0:c r="B191" s="8" t="str">
        <ns0:v>Statistical Mechanics</ns0:v>
      </ns0:c>
      <ns0:c r="C191" s="8" t="str">
        <ns0:v>Thermodynamics</ns0:v>
      </ns0:c>
      <ns0:c r="D191" s="8" t="str">
        <ns0:v>Linked view</ns0:v>
      </ns0:c>
      <ns0:c r="E191" s="8" t="str">
        <ns0:v>Compare ensembles, phase transitions, and transport. Try it in Statistical Ensemble Lab.</ns0:v>
      </ns0:c>
      <ns0:c r="F191" s="9" t="str">
        <ns0:f>HYPERLINK("https://physics.aimersociety.com/concepts?concept=pg-statistical-field","https://physics.aimersociety.com/concepts?concept=pg-statistical-field")</ns0:f>
        <ns0:v>https://physics.aimersociety.com/concepts?concept=pg-statistical-field</ns0:v>
      </ns0:c>
      <ns0:c r="G191" s="8" t="str">
        <ns0:v>/concepts?concept=pg-statistical-field</ns0:v>
      </ns0:c>
      <ns0:c r="H191" s="8" t="str">
        <ns0:v>src/lib/appDirectory.ts</ns0:v>
      </ns0:c>
      <ns0:c r="I191" s="8" t="str"/>
    </ns0:row>
    <ns0:row r="192" ht="82" customHeight="1">
      <ns0:c r="A192" s="8" t="n">
        <ns0:v>186</ns0:v>
      </ns0:c>
      <ns0:c r="B192" s="8" t="str">
        <ns0:v>Thermal Properties and Thermodynamics</ns0:v>
      </ns0:c>
      <ns0:c r="C192" s="8" t="str">
        <ns0:v>Thermodynamics</ns0:v>
      </ns0:c>
      <ns0:c r="D192" s="8" t="str">
        <ns0:v>Linked view</ns0:v>
      </ns0:c>
      <ns0:c r="E192" s="8" t="str">
        <ns0:v>Explore expansion, calorimetry, heat transfer, and thermodynamic processes. Try it in Heat Transfer.</ns0:v>
      </ns0:c>
      <ns0:c r="F192" s="9" t="str">
        <ns0:f>HYPERLINK("https://physics.aimersociety.com/concepts?concept=c11-thermal","https://physics.aimersociety.com/concepts?concept=c11-thermal")</ns0:f>
        <ns0:v>https://physics.aimersociety.com/concepts?concept=c11-thermal</ns0:v>
      </ns0:c>
      <ns0:c r="G192" s="8" t="str">
        <ns0:v>/concepts?concept=c11-thermal</ns0:v>
      </ns0:c>
      <ns0:c r="H192" s="8" t="str">
        <ns0:v>src/lib/appDirectory.ts</ns0:v>
      </ns0:c>
      <ns0:c r="I192" s="8" t="str"/>
    </ns0:row>
    <ns0:row r="193" ht="82" customHeight="1">
      <ns0:c r="A193" s="8" t="n">
        <ns0:v>187</ns0:v>
      </ns0:c>
      <ns0:c r="B193" s="8" t="str">
        <ns0:v>Transfer of Heat</ns0:v>
      </ns0:c>
      <ns0:c r="C193" s="8" t="str">
        <ns0:v>Thermodynamics</ns0:v>
      </ns0:c>
      <ns0:c r="D193" s="8" t="str">
        <ns0:v>Linked view</ns0:v>
      </ns0:c>
      <ns0:c r="E193" s="8" t="str">
        <ns0:v>Compare conduction, convection, and radiation. Try it in Heat Transfer.</ns0:v>
      </ns0:c>
      <ns0:c r="F193" s="9" t="str">
        <ns0:f>HYPERLINK("https://physics.aimersociety.com/concepts?concept=c7-heat-transfer","https://physics.aimersociety.com/concepts?concept=c7-heat-transfer")</ns0:f>
        <ns0:v>https://physics.aimersociety.com/concepts?concept=c7-heat-transfer</ns0:v>
      </ns0:c>
      <ns0:c r="G193" s="8" t="str">
        <ns0:v>/concepts?concept=c7-heat-transfer</ns0:v>
      </ns0:c>
      <ns0:c r="H193" s="8" t="str">
        <ns0:v>src/lib/appDirectory.ts</ns0:v>
      </ns0:c>
      <ns0:c r="I193" s="8" t="str"/>
    </ns0:row>
    <ns0:row r="194" ht="82" customHeight="1">
      <ns0:c r="A194" s="8" t="n">
        <ns0:v>188</ns0:v>
      </ns0:c>
      <ns0:c r="B194" s="8" t="str">
        <ns0:v>Electromagnetic Waves</ns0:v>
      </ns0:c>
      <ns0:c r="C194" s="8" t="str">
        <ns0:v>Waves</ns0:v>
      </ns0:c>
      <ns0:c r="D194" s="8" t="str">
        <ns0:v>Linked view</ns0:v>
      </ns0:c>
      <ns0:c r="E194" s="8" t="str">
        <ns0:v>Connect displacement current to EM waves. Try it in Electromagnetic Spectrum.</ns0:v>
      </ns0:c>
      <ns0:c r="F194" s="9" t="str">
        <ns0:f>HYPERLINK("https://physics.aimersociety.com/concepts?concept=c12-em-waves","https://physics.aimersociety.com/concepts?concept=c12-em-waves")</ns0:f>
        <ns0:v>https://physics.aimersociety.com/concepts?concept=c12-em-waves</ns0:v>
      </ns0:c>
      <ns0:c r="G194" s="8" t="str">
        <ns0:v>/concepts?concept=c12-em-waves</ns0:v>
      </ns0:c>
      <ns0:c r="H194" s="8" t="str">
        <ns0:v>src/lib/appDirectory.ts</ns0:v>
      </ns0:c>
      <ns0:c r="I194" s="8" t="str"/>
    </ns0:row>
    <ns0:row r="195" ht="82" customHeight="1">
      <ns0:c r="A195" s="8" t="n">
        <ns0:v>189</ns0:v>
      </ns0:c>
      <ns0:c r="B195" s="8" t="str">
        <ns0:v>Optics and Waves</ns0:v>
      </ns0:c>
      <ns0:c r="C195" s="8" t="str">
        <ns0:v>Waves</ns0:v>
      </ns0:c>
      <ns0:c r="D195" s="8" t="str">
        <ns0:v>Linked view</ns0:v>
      </ns0:c>
      <ns0:c r="E195" s="8" t="str">
        <ns0:v>Compare interference, diffraction, polarization, and wave packets. Try it in Young's Double Slit.</ns0:v>
      </ns0:c>
      <ns0:c r="F195" s="9" t="str">
        <ns0:f>HYPERLINK("https://physics.aimersociety.com/concepts?concept=ug-optics-waves","https://physics.aimersociety.com/concepts?concept=ug-optics-waves")</ns0:f>
        <ns0:v>https://physics.aimersociety.com/concepts?concept=ug-optics-waves</ns0:v>
      </ns0:c>
      <ns0:c r="G195" s="8" t="str">
        <ns0:v>/concepts?concept=ug-optics-waves</ns0:v>
      </ns0:c>
      <ns0:c r="H195" s="8" t="str">
        <ns0:v>src/lib/appDirectory.ts</ns0:v>
      </ns0:c>
      <ns0:c r="I195" s="8" t="str"/>
    </ns0:row>
    <ns0:row r="196" ht="82" customHeight="1">
      <ns0:c r="A196" s="8" t="n">
        <ns0:v>190</ns0:v>
      </ns0:c>
      <ns0:c r="B196" s="8" t="str">
        <ns0:v>Oscillations and Waves</ns0:v>
      </ns0:c>
      <ns0:c r="C196" s="8" t="str">
        <ns0:v>Waves</ns0:v>
      </ns0:c>
      <ns0:c r="D196" s="8" t="str">
        <ns0:v>Linked view</ns0:v>
      </ns0:c>
      <ns0:c r="E196" s="8" t="str">
        <ns0:v>Explore SHM, resonance, standing waves, and sound speed. Try it in Simple Pendulum.</ns0:v>
      </ns0:c>
      <ns0:c r="F196" s="9" t="str">
        <ns0:f>HYPERLINK("https://physics.aimersociety.com/concepts?concept=c11-oscillations-waves","https://physics.aimersociety.com/concepts?concept=c11-oscillations-waves")</ns0:f>
        <ns0:v>https://physics.aimersociety.com/concepts?concept=c11-oscillations-waves</ns0:v>
      </ns0:c>
      <ns0:c r="G196" s="8" t="str">
        <ns0:v>/concepts?concept=c11-oscillations-waves</ns0:v>
      </ns0:c>
      <ns0:c r="H196" s="8" t="str">
        <ns0:v>src/lib/appDirectory.ts</ns0:v>
      </ns0:c>
      <ns0:c r="I196" s="8" t="str"/>
    </ns0:row>
    <ns0:row r="197" ht="82" customHeight="1">
      <ns0:c r="A197" s="8" t="n">
        <ns0:v>191</ns0:v>
      </ns0:c>
      <ns0:c r="B197" s="8" t="str">
        <ns0:v>Sound</ns0:v>
      </ns0:c>
      <ns0:c r="C197" s="8" t="str">
        <ns0:v>Waves</ns0:v>
      </ns0:c>
      <ns0:c r="D197" s="8" t="str">
        <ns0:v>Linked view</ns0:v>
      </ns0:c>
      <ns0:c r="E197" s="8" t="str">
        <ns0:v>Connect vibration to sound. Try it in Wave Lab.</ns0:v>
      </ns0:c>
      <ns0:c r="F197" s="9" t="str">
        <ns0:f>HYPERLINK("https://physics.aimersociety.com/concepts?concept=c8-sound","https://physics.aimersociety.com/concepts?concept=c8-sound")</ns0:f>
        <ns0:v>https://physics.aimersociety.com/concepts?concept=c8-sound</ns0:v>
      </ns0:c>
      <ns0:c r="G197" s="8" t="str">
        <ns0:v>/concepts?concept=c8-sound</ns0:v>
      </ns0:c>
      <ns0:c r="H197" s="8" t="str">
        <ns0:v>src/lib/appDirectory.ts</ns0:v>
      </ns0:c>
      <ns0:c r="I197" s="8" t="str"/>
    </ns0:row>
    <ns0:row r="198" ht="82" customHeight="1">
      <ns0:c r="A198" s="8" t="n">
        <ns0:v>192</ns0:v>
      </ns0:c>
      <ns0:c r="B198" s="8" t="str">
        <ns0:v>Sound</ns0:v>
      </ns0:c>
      <ns0:c r="C198" s="8" t="str">
        <ns0:v>Waves</ns0:v>
      </ns0:c>
      <ns0:c r="D198" s="8" t="str">
        <ns0:v>Linked view</ns0:v>
      </ns0:c>
      <ns0:c r="E198" s="8" t="str">
        <ns0:v>Visualize longitudinal waves. Try it in Wave Lab.</ns0:v>
      </ns0:c>
      <ns0:c r="F198" s="9" t="str">
        <ns0:f>HYPERLINK("https://physics.aimersociety.com/concepts?concept=c9-sound","https://physics.aimersociety.com/concepts?concept=c9-sound")</ns0:f>
        <ns0:v>https://physics.aimersociety.com/concepts?concept=c9-sound</ns0:v>
      </ns0:c>
      <ns0:c r="G198" s="8" t="str">
        <ns0:v>/concepts?concept=c9-sound</ns0:v>
      </ns0:c>
      <ns0:c r="H198" s="8" t="str">
        <ns0:v>src/lib/appDirectory.ts</ns0:v>
      </ns0:c>
      <ns0:c r="I198" s="8" t="str"/>
    </ns0:row>
    <ns0:row r="199" ht="82" customHeight="1">
      <ns0:c r="A199" s="8" t="n">
        <ns0:v>193</ns0:v>
      </ns0:c>
      <ns0:c r="B199" s="8" t="str">
        <ns0:v>Wave Optics</ns0:v>
      </ns0:c>
      <ns0:c r="C199" s="8" t="str">
        <ns0:v>Waves</ns0:v>
      </ns0:c>
      <ns0:c r="D199" s="8" t="str">
        <ns0:v>Linked view</ns0:v>
      </ns0:c>
      <ns0:c r="E199" s="8" t="str">
        <ns0:v>Explore interference, diffraction, and polarization. Try it in Single Slit Diffraction.</ns0:v>
      </ns0:c>
      <ns0:c r="F199" s="9" t="str">
        <ns0:f>HYPERLINK("https://physics.aimersociety.com/concepts?concept=c12-wave-optics","https://physics.aimersociety.com/concepts?concept=c12-wave-optics")</ns0:f>
        <ns0:v>https://physics.aimersociety.com/concepts?concept=c12-wave-optics</ns0:v>
      </ns0:c>
      <ns0:c r="G199" s="8" t="str">
        <ns0:v>/concepts?concept=c12-wave-optics</ns0:v>
      </ns0:c>
      <ns0:c r="H199" s="8" t="str">
        <ns0:v>src/lib/appDirectory.ts</ns0:v>
      </ns0:c>
      <ns0:c r="I199" s="8" t="str"/>
    </ns0:row>
    <ns0:row r="200" ht="82" customHeight="1">
      <ns0:c r="A200" s="8" t="n">
        <ns0:v>194</ns0:v>
      </ns0:c>
      <ns0:c r="B200" s="8" t="str">
        <ns0:v>Electricity</ns0:v>
      </ns0:c>
      <ns0:c r="C200" s="8" t="str">
        <ns0:v>Electricity &amp; Magnetism</ns0:v>
      </ns0:c>
      <ns0:c r="D200" s="8" t="str">
        <ns0:v>Modules</ns0:v>
      </ns0:c>
      <ns0:c r="E200" s="8" t="str">
        <ns0:v>Current, voltage, resistance, power, circuits, and Ohm's law.</ns0:v>
      </ns0:c>
      <ns0:c r="F200" s="9" t="str">
        <ns0:f>HYPERLINK("https://physics.aimersociety.com/topics/electricity","https://physics.aimersociety.com/topics/electricity")</ns0:f>
        <ns0:v>https://physics.aimersociety.com/topics/electricity</ns0:v>
      </ns0:c>
      <ns0:c r="G200" s="8" t="str">
        <ns0:v>/topics/electricity</ns0:v>
      </ns0:c>
      <ns0:c r="H200" s="8" t="str">
        <ns0:v>src/lib/appDirectory.ts</ns0:v>
      </ns0:c>
      <ns0:c r="I200" s="8" t="str"/>
    </ns0:row>
    <ns0:row r="201" ht="82" customHeight="1">
      <ns0:c r="A201" s="8" t="n">
        <ns0:v>195</ns0:v>
      </ns0:c>
      <ns0:c r="B201" s="8" t="str">
        <ns0:v>Electronics</ns0:v>
      </ns0:c>
      <ns0:c r="C201" s="8" t="str">
        <ns0:v>Electricity &amp; Magnetism</ns0:v>
      </ns0:c>
      <ns0:c r="D201" s="8" t="str">
        <ns0:v>Modules</ns0:v>
      </ns0:c>
      <ns0:c r="E201" s="8" t="str">
        <ns0:v>Semiconductors, logic gates, sensors, signals, and devices.</ns0:v>
      </ns0:c>
      <ns0:c r="F201" s="9" t="str">
        <ns0:f>HYPERLINK("https://physics.aimersociety.com/topics/electronics","https://physics.aimersociety.com/topics/electronics")</ns0:f>
        <ns0:v>https://physics.aimersociety.com/topics/electronics</ns0:v>
      </ns0:c>
      <ns0:c r="G201" s="8" t="str">
        <ns0:v>/topics/electronics</ns0:v>
      </ns0:c>
      <ns0:c r="H201" s="8" t="str">
        <ns0:v>src/lib/appDirectory.ts</ns0:v>
      </ns0:c>
      <ns0:c r="I201" s="8" t="str"/>
    </ns0:row>
    <ns0:row r="202" ht="82" customHeight="1">
      <ns0:c r="A202" s="8" t="n">
        <ns0:v>196</ns0:v>
      </ns0:c>
      <ns0:c r="B202" s="8" t="str">
        <ns0:v>Magnetism</ns0:v>
      </ns0:c>
      <ns0:c r="C202" s="8" t="str">
        <ns0:v>Electricity &amp; Magnetism</ns0:v>
      </ns0:c>
      <ns0:c r="D202" s="8" t="str">
        <ns0:v>Modules</ns0:v>
      </ns0:c>
      <ns0:c r="E202" s="8" t="str">
        <ns0:v>Magnetic fields, force on charges, coils, motors, and induction.</ns0:v>
      </ns0:c>
      <ns0:c r="F202" s="9" t="str">
        <ns0:f>HYPERLINK("https://physics.aimersociety.com/topics/magnetism","https://physics.aimersociety.com/topics/magnetism")</ns0:f>
        <ns0:v>https://physics.aimersociety.com/topics/magnetism</ns0:v>
      </ns0:c>
      <ns0:c r="G202" s="8" t="str">
        <ns0:v>/topics/magnetism</ns0:v>
      </ns0:c>
      <ns0:c r="H202" s="8" t="str">
        <ns0:v>src/lib/appDirectory.ts</ns0:v>
      </ns0:c>
      <ns0:c r="I202" s="8" t="str"/>
    </ns0:row>
    <ns0:row r="203" ht="82" customHeight="1">
      <ns0:c r="A203" s="8" t="n">
        <ns0:v>197</ns0:v>
      </ns0:c>
      <ns0:c r="B203" s="8" t="str">
        <ns0:v>Concept Explorer</ns0:v>
      </ns0:c>
      <ns0:c r="C203" s="8" t="str">
        <ns0:v>Foundations</ns0:v>
      </ns0:c>
      <ns0:c r="D203" s="8" t="str">
        <ns0:v>Modules</ns0:v>
      </ns0:c>
      <ns0:c r="E203" s="8" t="str">
        <ns0:v>Concept explanations linked to labs, visuals, and key ideas.</ns0:v>
      </ns0:c>
      <ns0:c r="F203" s="9" t="str">
        <ns0:f>HYPERLINK("https://physics.aimersociety.com/concepts","https://physics.aimersociety.com/concepts")</ns0:f>
        <ns0:v>https://physics.aimersociety.com/concepts</ns0:v>
      </ns0:c>
      <ns0:c r="G203" s="8" t="str">
        <ns0:v>/concepts</ns0:v>
      </ns0:c>
      <ns0:c r="H203" s="8" t="str">
        <ns0:v>src/lib/appDirectory.ts</ns0:v>
      </ns0:c>
      <ns0:c r="I203" s="8" t="str"/>
    </ns0:row>
    <ns0:row r="204" ht="82" customHeight="1">
      <ns0:c r="A204" s="8" t="n">
        <ns0:v>198</ns0:v>
      </ns0:c>
      <ns0:c r="B204" s="8" t="str">
        <ns0:v>Formula Explorer</ns0:v>
      </ns0:c>
      <ns0:c r="C204" s="8" t="str">
        <ns0:v>Foundations</ns0:v>
      </ns0:c>
      <ns0:c r="D204" s="8" t="str">
        <ns0:v>Modules</ns0:v>
      </ns0:c>
      <ns0:c r="E204" s="8" t="str">
        <ns0:v>Search and browse physics formulas with explanations and examples.</ns0:v>
      </ns0:c>
      <ns0:c r="F204" s="9" t="str">
        <ns0:f>HYPERLINK("https://physics.aimersociety.com/formulas","https://physics.aimersociety.com/formulas")</ns0:f>
        <ns0:v>https://physics.aimersociety.com/formulas</ns0:v>
      </ns0:c>
      <ns0:c r="G204" s="8" t="str">
        <ns0:v>/formulas</ns0:v>
      </ns0:c>
      <ns0:c r="H204" s="8" t="str">
        <ns0:v>src/lib/appDirectory.ts</ns0:v>
      </ns0:c>
      <ns0:c r="I204" s="8" t="str"/>
    </ns0:row>
    <ns0:row r="205" ht="82" customHeight="1">
      <ns0:c r="A205" s="8" t="n">
        <ns0:v>199</ns0:v>
      </ns0:c>
      <ns0:c r="B205" s="8" t="str">
        <ns0:v>Graph Studio</ns0:v>
      </ns0:c>
      <ns0:c r="C205" s="8" t="str">
        <ns0:v>Foundations</ns0:v>
      </ns0:c>
      <ns0:c r="D205" s="8" t="str">
        <ns0:v>Modules</ns0:v>
      </ns0:c>
      <ns0:c r="E205" s="8" t="str">
        <ns0:v>Plot accurate physics graph presets and explore variables interactively.</ns0:v>
      </ns0:c>
      <ns0:c r="F205" s="9" t="str">
        <ns0:f>HYPERLINK("https://physics.aimersociety.com/graphs","https://physics.aimersociety.com/graphs")</ns0:f>
        <ns0:v>https://physics.aimersociety.com/graphs</ns0:v>
      </ns0:c>
      <ns0:c r="G205" s="8" t="str">
        <ns0:v>/graphs</ns0:v>
      </ns0:c>
      <ns0:c r="H205" s="8" t="str">
        <ns0:v>src/lib/appDirectory.ts</ns0:v>
      </ns0:c>
      <ns0:c r="I205" s="8" t="str"/>
    </ns0:row>
    <ns0:row r="206" ht="82" customHeight="1">
      <ns0:c r="A206" s="8" t="n">
        <ns0:v>200</ns0:v>
      </ns0:c>
      <ns0:c r="B206" s="8" t="str">
        <ns0:v>Measurement &amp; Units</ns0:v>
      </ns0:c>
      <ns0:c r="C206" s="8" t="str">
        <ns0:v>Foundations</ns0:v>
      </ns0:c>
      <ns0:c r="D206" s="8" t="str">
        <ns0:v>Modules</ns0:v>
      </ns0:c>
      <ns0:c r="E206" s="8" t="str">
        <ns0:v>SI units, errors, dimensions, significant figures, and calibrated readings.</ns0:v>
      </ns0:c>
      <ns0:c r="F206" s="9" t="str">
        <ns0:f>HYPERLINK("https://physics.aimersociety.com/topics/measurement","https://physics.aimersociety.com/topics/measurement")</ns0:f>
        <ns0:v>https://physics.aimersociety.com/topics/measurement</ns0:v>
      </ns0:c>
      <ns0:c r="G206" s="8" t="str">
        <ns0:v>/topics/measurement</ns0:v>
      </ns0:c>
      <ns0:c r="H206" s="8" t="str">
        <ns0:v>src/lib/appDirectory.ts</ns0:v>
      </ns0:c>
      <ns0:c r="I206" s="8" t="str"/>
    </ns0:row>
    <ns0:row r="207" ht="82" customHeight="1">
      <ns0:c r="A207" s="8" t="n">
        <ns0:v>201</ns0:v>
      </ns0:c>
      <ns0:c r="B207" s="8" t="str">
        <ns0:v>Physics Solver</ns0:v>
      </ns0:c>
      <ns0:c r="C207" s="8" t="str">
        <ns0:v>Foundations</ns0:v>
      </ns0:c>
      <ns0:c r="D207" s="8" t="str">
        <ns0:v>Modules</ns0:v>
      </ns0:c>
      <ns0:c r="E207" s="8" t="str">
        <ns0:v>Step through quantitative problems and unit-aware solutions.</ns0:v>
      </ns0:c>
      <ns0:c r="F207" s="9" t="str">
        <ns0:f>HYPERLINK("https://physics.aimersociety.com/solver","https://physics.aimersociety.com/solver")</ns0:f>
        <ns0:v>https://physics.aimersociety.com/solver</ns0:v>
      </ns0:c>
      <ns0:c r="G207" s="8" t="str">
        <ns0:v>/solver</ns0:v>
      </ns0:c>
      <ns0:c r="H207" s="8" t="str">
        <ns0:v>src/lib/appDirectory.ts</ns0:v>
      </ns0:c>
      <ns0:c r="I207" s="8" t="str"/>
    </ns0:row>
    <ns0:row r="208" ht="82" customHeight="1">
      <ns0:c r="A208" s="8" t="n">
        <ns0:v>202</ns0:v>
      </ns0:c>
      <ns0:c r="B208" s="8" t="str">
        <ns0:v>Visual Dictionary</ns0:v>
      </ns0:c>
      <ns0:c r="C208" s="8" t="str">
        <ns0:v>Foundations</ns0:v>
      </ns0:c>
      <ns0:c r="D208" s="8" t="str">
        <ns0:v>Modules</ns0:v>
      </ns0:c>
      <ns0:c r="E208" s="8" t="str">
        <ns0:v>Illustrated physics terms with topic filters and alphabetical lookup.</ns0:v>
      </ns0:c>
      <ns0:c r="F208" s="9" t="str">
        <ns0:f>HYPERLINK("https://physics.aimersociety.com/dictionary","https://physics.aimersociety.com/dictionary")</ns0:f>
        <ns0:v>https://physics.aimersociety.com/dictionary</ns0:v>
      </ns0:c>
      <ns0:c r="G208" s="8" t="str">
        <ns0:v>/dictionary</ns0:v>
      </ns0:c>
      <ns0:c r="H208" s="8" t="str">
        <ns0:v>src/lib/appDirectory.ts</ns0:v>
      </ns0:c>
      <ns0:c r="I208" s="8" t="str"/>
    </ns0:row>
    <ns0:row r="209" ht="82" customHeight="1">
      <ns0:c r="A209" s="8" t="n">
        <ns0:v>203</ns0:v>
      </ns0:c>
      <ns0:c r="B209" s="8" t="str">
        <ns0:v>Excellence Benchmark</ns0:v>
      </ns0:c>
      <ns0:c r="C209" s="8" t="str">
        <ns0:v>Learning, Trust &amp; Teaching</ns0:v>
      </ns0:c>
      <ns0:c r="D209" s="8" t="str">
        <ns0:v>Modules</ns0:v>
      </ns0:c>
      <ns0:c r="E209" s="8" t="str">
        <ns0:v>Compare against top teaching tools and plan improvements.</ns0:v>
      </ns0:c>
      <ns0:c r="F209" s="9" t="str">
        <ns0:f>HYPERLINK("https://physics.aimersociety.com/excellence-benchmark","https://physics.aimersociety.com/excellence-benchmark")</ns0:f>
        <ns0:v>https://physics.aimersociety.com/excellence-benchmark</ns0:v>
      </ns0:c>
      <ns0:c r="G209" s="8" t="str">
        <ns0:v>/excellence-benchmark</ns0:v>
      </ns0:c>
      <ns0:c r="H209" s="8" t="str">
        <ns0:v>src/lib/appDirectory.ts</ns0:v>
      </ns0:c>
      <ns0:c r="I209" s="8" t="str"/>
    </ns0:row>
    <ns0:row r="210" ht="82" customHeight="1">
      <ns0:c r="A210" s="8" t="n">
        <ns0:v>204</ns0:v>
      </ns0:c>
      <ns0:c r="B210" s="8" t="str">
        <ns0:v>Scientific Trust</ns0:v>
      </ns0:c>
      <ns0:c r="C210" s="8" t="str">
        <ns0:v>Learning, Trust &amp; Teaching</ns0:v>
      </ns0:c>
      <ns0:c r="D210" s="8" t="str">
        <ns0:v>Modules</ns0:v>
      </ns0:c>
      <ns0:c r="E210" s="8" t="str">
        <ns0:v>Accuracy checks, validation status, sources, and model assumptions.</ns0:v>
      </ns0:c>
      <ns0:c r="F210" s="9" t="str">
        <ns0:f>HYPERLINK("https://physics.aimersociety.com/trust","https://physics.aimersociety.com/trust")</ns0:f>
        <ns0:v>https://physics.aimersociety.com/trust</ns0:v>
      </ns0:c>
      <ns0:c r="G210" s="8" t="str">
        <ns0:v>/trust</ns0:v>
      </ns0:c>
      <ns0:c r="H210" s="8" t="str">
        <ns0:v>src/lib/appDirectory.ts</ns0:v>
      </ns0:c>
      <ns0:c r="I210" s="8" t="str"/>
    </ns0:row>
    <ns0:row r="211" ht="82" customHeight="1">
      <ns0:c r="A211" s="8" t="n">
        <ns0:v>205</ns0:v>
      </ns0:c>
      <ns0:c r="B211" s="8" t="str">
        <ns0:v>Simulation Depth</ns0:v>
      </ns0:c>
      <ns0:c r="C211" s="8" t="str">
        <ns0:v>Learning, Trust &amp; Teaching</ns0:v>
      </ns0:c>
      <ns0:c r="D211" s="8" t="str">
        <ns0:v>Modules</ns0:v>
      </ns0:c>
      <ns0:c r="E211" s="8" t="str">
        <ns0:v>2D/3D polish, accuracy, probes, replay, and launch tracking.</ns0:v>
      </ns0:c>
      <ns0:c r="F211" s="9" t="str">
        <ns0:f>HYPERLINK("https://physics.aimersociety.com/simulation-depth","https://physics.aimersociety.com/simulation-depth")</ns0:f>
        <ns0:v>https://physics.aimersociety.com/simulation-depth</ns0:v>
      </ns0:c>
      <ns0:c r="G211" s="8" t="str">
        <ns0:v>/simulation-depth</ns0:v>
      </ns0:c>
      <ns0:c r="H211" s="8" t="str">
        <ns0:v>src/lib/appDirectory.ts</ns0:v>
      </ns0:c>
      <ns0:c r="I211" s="8" t="str"/>
    </ns0:row>
    <ns0:row r="212" ht="82" customHeight="1">
      <ns0:c r="A212" s="8" t="n">
        <ns0:v>206</ns0:v>
      </ns0:c>
      <ns0:c r="B212" s="8" t="str">
        <ns0:v>Student Roadmap</ns0:v>
      </ns0:c>
      <ns0:c r="C212" s="8" t="str">
        <ns0:v>Learning, Trust &amp; Teaching</ns0:v>
      </ns0:c>
      <ns0:c r="D212" s="8" t="str">
        <ns0:v>Modules</ns0:v>
      </ns0:c>
      <ns0:c r="E212" s="8" t="str">
        <ns0:v>Class-wise launch paths into labs and mastery practice.</ns0:v>
      </ns0:c>
      <ns0:c r="F212" s="9" t="str">
        <ns0:f>HYPERLINK("https://physics.aimersociety.com/roadmap","https://physics.aimersociety.com/roadmap")</ns0:f>
        <ns0:v>https://physics.aimersociety.com/roadmap</ns0:v>
      </ns0:c>
      <ns0:c r="G212" s="8" t="str">
        <ns0:v>/roadmap</ns0:v>
      </ns0:c>
      <ns0:c r="H212" s="8" t="str">
        <ns0:v>src/lib/appDirectory.ts</ns0:v>
      </ns0:c>
      <ns0:c r="I212" s="8" t="str"/>
    </ns0:row>
    <ns0:row r="213" ht="82" customHeight="1">
      <ns0:c r="A213" s="8" t="n">
        <ns0:v>207</ns0:v>
      </ns0:c>
      <ns0:c r="B213" s="8" t="str">
        <ns0:v>Teacher Tools</ns0:v>
      </ns0:c>
      <ns0:c r="C213" s="8" t="str">
        <ns0:v>Learning, Trust &amp; Teaching</ns0:v>
      </ns0:c>
      <ns0:c r="D213" s="8" t="str">
        <ns0:v>Modules</ns0:v>
      </ns0:c>
      <ns0:c r="E213" s="8" t="str">
        <ns0:v>Assignments, snapshots, classroom reports, and evidence review.</ns0:v>
      </ns0:c>
      <ns0:c r="F213" s="9" t="str">
        <ns0:f>HYPERLINK("https://physics.aimersociety.com/teacher","https://physics.aimersociety.com/teacher")</ns0:f>
        <ns0:v>https://physics.aimersociety.com/teacher</ns0:v>
      </ns0:c>
      <ns0:c r="G213" s="8" t="str">
        <ns0:v>/teacher</ns0:v>
      </ns0:c>
      <ns0:c r="H213" s="8" t="str">
        <ns0:v>src/lib/appDirectory.ts</ns0:v>
      </ns0:c>
      <ns0:c r="I213" s="8" t="str"/>
    </ns0:row>
    <ns0:row r="214" ht="82" customHeight="1">
      <ns0:c r="A214" s="8" t="n">
        <ns0:v>208</ns0:v>
      </ns0:c>
      <ns0:c r="B214" s="8" t="str">
        <ns0:v>Gravity &amp; Orbits</ns0:v>
      </ns0:c>
      <ns0:c r="C214" s="8" t="str">
        <ns0:v>Mechanics</ns0:v>
      </ns0:c>
      <ns0:c r="D214" s="8" t="str">
        <ns0:v>Modules</ns0:v>
      </ns0:c>
      <ns0:c r="E214" s="8" t="str">
        <ns0:v>Universal gravitation, orbital motion, escape speed, and satellites.</ns0:v>
      </ns0:c>
      <ns0:c r="F214" s="9" t="str">
        <ns0:f>HYPERLINK("https://physics.aimersociety.com/experiments/satellite-orbit","https://physics.aimersociety.com/experiments/satellite-orbit")</ns0:f>
        <ns0:v>https://physics.aimersociety.com/experiments/satellite-orbit</ns0:v>
      </ns0:c>
      <ns0:c r="G214" s="8" t="str">
        <ns0:v>/experiments/satellite-orbit</ns0:v>
      </ns0:c>
      <ns0:c r="H214" s="8" t="str">
        <ns0:v>src/lib/appDirectory.ts</ns0:v>
      </ns0:c>
      <ns0:c r="I214" s="8" t="str"/>
    </ns0:row>
    <ns0:row r="215" ht="82" customHeight="1">
      <ns0:c r="A215" s="8" t="n">
        <ns0:v>209</ns0:v>
      </ns0:c>
      <ns0:c r="B215" s="8" t="str">
        <ns0:v>Mechanics</ns0:v>
      </ns0:c>
      <ns0:c r="C215" s="8" t="str">
        <ns0:v>Mechanics</ns0:v>
      </ns0:c>
      <ns0:c r="D215" s="8" t="str">
        <ns0:v>Modules</ns0:v>
      </ns0:c>
      <ns0:c r="E215" s="8" t="str">
        <ns0:v>Forces, Newton's laws, free body diagrams, work, and energy.</ns0:v>
      </ns0:c>
      <ns0:c r="F215" s="9" t="str">
        <ns0:f>HYPERLINK("https://physics.aimersociety.com/topics/mechanics","https://physics.aimersociety.com/topics/mechanics")</ns0:f>
        <ns0:v>https://physics.aimersociety.com/topics/mechanics</ns0:v>
      </ns0:c>
      <ns0:c r="G215" s="8" t="str">
        <ns0:v>/topics/mechanics</ns0:v>
      </ns0:c>
      <ns0:c r="H215" s="8" t="str">
        <ns0:v>src/lib/appDirectory.ts</ns0:v>
      </ns0:c>
      <ns0:c r="I215" s="8" t="str"/>
    </ns0:row>
    <ns0:row r="216" ht="82" customHeight="1">
      <ns0:c r="A216" s="8" t="n">
        <ns0:v>210</ns0:v>
      </ns0:c>
      <ns0:c r="B216" s="8" t="str">
        <ns0:v>Mechanics Sandbox</ns0:v>
      </ns0:c>
      <ns0:c r="C216" s="8" t="str">
        <ns0:v>Mechanics</ns0:v>
      </ns0:c>
      <ns0:c r="D216" s="8" t="str">
        <ns0:v>Modules</ns0:v>
      </ns0:c>
      <ns0:c r="E216" s="8" t="str">
        <ns0:v>Build free-form experiments with objects, forces, springs, and tracks.</ns0:v>
      </ns0:c>
      <ns0:c r="F216" s="9" t="str">
        <ns0:f>HYPERLINK("https://physics.aimersociety.com/sandbox","https://physics.aimersociety.com/sandbox")</ns0:f>
        <ns0:v>https://physics.aimersociety.com/sandbox</ns0:v>
      </ns0:c>
      <ns0:c r="G216" s="8" t="str">
        <ns0:v>/sandbox</ns0:v>
      </ns0:c>
      <ns0:c r="H216" s="8" t="str">
        <ns0:v>src/lib/appDirectory.ts</ns0:v>
      </ns0:c>
      <ns0:c r="I216" s="8" t="str"/>
    </ns0:row>
    <ns0:row r="217" ht="82" customHeight="1">
      <ns0:c r="A217" s="8" t="n">
        <ns0:v>211</ns0:v>
      </ns0:c>
      <ns0:c r="B217" s="8" t="str">
        <ns0:v>Oscillations</ns0:v>
      </ns0:c>
      <ns0:c r="C217" s="8" t="str">
        <ns0:v>Mechanics</ns0:v>
      </ns0:c>
      <ns0:c r="D217" s="8" t="str">
        <ns0:v>Modules</ns0:v>
      </ns0:c>
      <ns0:c r="E217" s="8" t="str">
        <ns0:v>SHM, pendulum motion, springs, resonance, and phase.</ns0:v>
      </ns0:c>
      <ns0:c r="F217" s="9" t="str">
        <ns0:f>HYPERLINK("https://physics.aimersociety.com/topics/oscillations","https://physics.aimersociety.com/topics/oscillations")</ns0:f>
        <ns0:v>https://physics.aimersociety.com/topics/oscillations</ns0:v>
      </ns0:c>
      <ns0:c r="G217" s="8" t="str">
        <ns0:v>/topics/oscillations</ns0:v>
      </ns0:c>
      <ns0:c r="H217" s="8" t="str">
        <ns0:v>src/lib/appDirectory.ts</ns0:v>
      </ns0:c>
      <ns0:c r="I217" s="8" t="str"/>
    </ns0:row>
    <ns0:row r="218" ht="82" customHeight="1">
      <ns0:c r="A218" s="8" t="n">
        <ns0:v>212</ns0:v>
      </ns0:c>
      <ns0:c r="B218" s="8" t="str">
        <ns0:v>Work, Energy &amp; Power</ns0:v>
      </ns0:c>
      <ns0:c r="C218" s="8" t="str">
        <ns0:v>Mechanics</ns0:v>
      </ns0:c>
      <ns0:c r="D218" s="8" t="str">
        <ns0:v>Modules</ns0:v>
      </ns0:c>
      <ns0:c r="E218" s="8" t="str">
        <ns0:v>Energy transfer, power, potential energy, and conservation.</ns0:v>
      </ns0:c>
      <ns0:c r="F218" s="9" t="str">
        <ns0:f>HYPERLINK("https://physics.aimersociety.com/topics/energy","https://physics.aimersociety.com/topics/energy")</ns0:f>
        <ns0:v>https://physics.aimersociety.com/topics/energy</ns0:v>
      </ns0:c>
      <ns0:c r="G218" s="8" t="str">
        <ns0:v>/topics/energy</ns0:v>
      </ns0:c>
      <ns0:c r="H218" s="8" t="str">
        <ns0:v>src/lib/appDirectory.ts</ns0:v>
      </ns0:c>
      <ns0:c r="I218" s="8" t="str"/>
    </ns0:row>
    <ns0:row r="219" ht="82" customHeight="1">
      <ns0:c r="A219" s="8" t="n">
        <ns0:v>213</ns0:v>
      </ns0:c>
      <ns0:c r="B219" s="8" t="str">
        <ns0:v>Modern Physics</ns0:v>
      </ns0:c>
      <ns0:c r="C219" s="8" t="str">
        <ns0:v>Modern &amp; Quantum</ns0:v>
      </ns0:c>
      <ns0:c r="D219" s="8" t="str">
        <ns0:v>Modules</ns0:v>
      </ns0:c>
      <ns0:c r="E219" s="8" t="str">
        <ns0:v>Photoelectric effect, de Broglie waves, Bohr atom, and nuclear physics.</ns0:v>
      </ns0:c>
      <ns0:c r="F219" s="9" t="str">
        <ns0:f>HYPERLINK("https://physics.aimersociety.com/topics/modern-physics","https://physics.aimersociety.com/topics/modern-physics")</ns0:f>
        <ns0:v>https://physics.aimersociety.com/topics/modern-physics</ns0:v>
      </ns0:c>
      <ns0:c r="G219" s="8" t="str">
        <ns0:v>/topics/modern-physics</ns0:v>
      </ns0:c>
      <ns0:c r="H219" s="8" t="str">
        <ns0:v>src/lib/appDirectory.ts</ns0:v>
      </ns0:c>
      <ns0:c r="I219" s="8" t="str"/>
    </ns0:row>
    <ns0:row r="220" ht="82" customHeight="1">
      <ns0:c r="A220" s="8" t="n">
        <ns0:v>214</ns0:v>
      </ns0:c>
      <ns0:c r="B220" s="8" t="str">
        <ns0:v>Particle Concept Pages</ns0:v>
      </ns0:c>
      <ns0:c r="C220" s="8" t="str">
        <ns0:v>Modern &amp; Quantum</ns0:v>
      </ns0:c>
      <ns0:c r="D220" s="8" t="str">
        <ns0:v>Modules</ns0:v>
      </ns0:c>
      <ns0:c r="E220" s="8" t="str">
        <ns0:v>Open interactive pages for every particle physics concept.</ns0:v>
      </ns0:c>
      <ns0:c r="F220" s="9" t="str">
        <ns0:f>HYPERLINK("https://physics.aimersociety.com/particle-physics/higgs-field","https://physics.aimersociety.com/particle-physics/higgs-field")</ns0:f>
        <ns0:v>https://physics.aimersociety.com/particle-physics/higgs-field</ns0:v>
      </ns0:c>
      <ns0:c r="G220" s="8" t="str">
        <ns0:v>/particle-physics/higgs-field</ns0:v>
      </ns0:c>
      <ns0:c r="H220" s="8" t="str">
        <ns0:v>src/lib/appDirectory.ts</ns0:v>
      </ns0:c>
      <ns0:c r="I220" s="8" t="str"/>
    </ns0:row>
    <ns0:row r="221" ht="82" customHeight="1">
      <ns0:c r="A221" s="8" t="n">
        <ns0:v>215</ns0:v>
      </ns0:c>
      <ns0:c r="B221" s="8" t="str">
        <ns0:v>Particle Physics</ns0:v>
      </ns0:c>
      <ns0:c r="C221" s="8" t="str">
        <ns0:v>Modern &amp; Quantum</ns0:v>
      </ns0:c>
      <ns0:c r="D221" s="8" t="str">
        <ns0:v>Modules</ns0:v>
      </ns0:c>
      <ns0:c r="E221" s="8" t="str">
        <ns0:v>Standard Model, quarks, leptons, bosons, Higgs field, and QFT.</ns0:v>
      </ns0:c>
      <ns0:c r="F221" s="9" t="str">
        <ns0:f>HYPERLINK("https://physics.aimersociety.com/particle-physics","https://physics.aimersociety.com/particle-physics")</ns0:f>
        <ns0:v>https://physics.aimersociety.com/particle-physics</ns0:v>
      </ns0:c>
      <ns0:c r="G221" s="8" t="str">
        <ns0:v>/particle-physics</ns0:v>
      </ns0:c>
      <ns0:c r="H221" s="8" t="str">
        <ns0:v>src/lib/appDirectory.ts</ns0:v>
      </ns0:c>
      <ns0:c r="I221" s="8" t="str"/>
    </ns0:row>
    <ns0:row r="222" ht="82" customHeight="1">
      <ns0:c r="A222" s="8" t="n">
        <ns0:v>216</ns0:v>
      </ns0:c>
      <ns0:c r="B222" s="8" t="str">
        <ns0:v>Quantum Lab</ns0:v>
      </ns0:c>
      <ns0:c r="C222" s="8" t="str">
        <ns0:v>Modern &amp; Quantum</ns0:v>
      </ns0:c>
      <ns0:c r="D222" s="8" t="str">
        <ns0:v>Modules</ns0:v>
      </ns0:c>
      <ns0:c r="E222" s="8" t="str">
        <ns0:v>Interactive Bohr, tunneling, and photoelectric explorations.</ns0:v>
      </ns0:c>
      <ns0:c r="F222" s="9" t="str">
        <ns0:f>HYPERLINK("https://physics.aimersociety.com/quantum","https://physics.aimersociety.com/quantum")</ns0:f>
        <ns0:v>https://physics.aimersociety.com/quantum</ns0:v>
      </ns0:c>
      <ns0:c r="G222" s="8" t="str">
        <ns0:v>/quantum</ns0:v>
      </ns0:c>
      <ns0:c r="H222" s="8" t="str">
        <ns0:v>src/lib/appDirectory.ts</ns0:v>
      </ns0:c>
      <ns0:c r="I222" s="8" t="str"/>
    </ns0:row>
    <ns0:row r="223" ht="82" customHeight="1">
      <ns0:c r="A223" s="8" t="n">
        <ns0:v>217</ns0:v>
      </ns0:c>
      <ns0:c r="B223" s="8" t="str">
        <ns0:v>String Theory</ns0:v>
      </ns0:c>
      <ns0:c r="C223" s="8" t="str">
        <ns0:v>Modern &amp; Quantum</ns0:v>
      </ns0:c>
      <ns0:c r="D223" s="8" t="str">
        <ns0:v>Modules</ns0:v>
      </ns0:c>
      <ns0:c r="E223" s="8" t="str">
        <ns0:v>Vibrating strings, extra dimensions, quantum gravity, and unification.</ns0:v>
      </ns0:c>
      <ns0:c r="F223" s="9" t="str">
        <ns0:f>HYPERLINK("https://physics.aimersociety.com/string-theory","https://physics.aimersociety.com/string-theory")</ns0:f>
        <ns0:v>https://physics.aimersociety.com/string-theory</ns0:v>
      </ns0:c>
      <ns0:c r="G223" s="8" t="str">
        <ns0:v>/string-theory</ns0:v>
      </ns0:c>
      <ns0:c r="H223" s="8" t="str">
        <ns0:v>src/lib/appDirectory.ts</ns0:v>
      </ns0:c>
      <ns0:c r="I223" s="8" t="str"/>
    </ns0:row>
    <ns0:row r="224" ht="82" customHeight="1">
      <ns0:c r="A224" s="8" t="n">
        <ns0:v>218</ns0:v>
      </ns0:c>
      <ns0:c r="B224" s="8" t="str">
        <ns0:v>Astronomy</ns0:v>
      </ns0:c>
      <ns0:c r="C224" s="8" t="str">
        <ns0:v>Space &amp; Earth Physics</ns0:v>
      </ns0:c>
      <ns0:c r="D224" s="8" t="str">
        <ns0:v>Modules</ns0:v>
      </ns0:c>
      <ns0:c r="E224" s="8" t="str">
        <ns0:v>Planets, stars, telescopes, sky observation, and orbital ideas.</ns0:v>
      </ns0:c>
      <ns0:c r="F224" s="9" t="str">
        <ns0:f>HYPERLINK("https://physics.aimersociety.com/topics/astronomy","https://physics.aimersociety.com/topics/astronomy")</ns0:f>
        <ns0:v>https://physics.aimersociety.com/topics/astronomy</ns0:v>
      </ns0:c>
      <ns0:c r="G224" s="8" t="str">
        <ns0:v>/topics/astronomy</ns0:v>
      </ns0:c>
      <ns0:c r="H224" s="8" t="str">
        <ns0:v>src/lib/appDirectory.ts</ns0:v>
      </ns0:c>
      <ns0:c r="I224" s="8" t="str"/>
    </ns0:row>
    <ns0:row r="225" ht="82" customHeight="1">
      <ns0:c r="A225" s="8" t="n">
        <ns0:v>219</ns0:v>
      </ns0:c>
      <ns0:c r="B225" s="8" t="str">
        <ns0:v>AstroPhysics</ns0:v>
      </ns0:c>
      <ns0:c r="C225" s="8" t="str">
        <ns0:v>Space &amp; Earth Physics</ns0:v>
      </ns0:c>
      <ns0:c r="D225" s="8" t="str">
        <ns0:v>Modules</ns0:v>
      </ns0:c>
      <ns0:c r="E225" s="8" t="str">
        <ns0:v>Black holes, galaxies, stellar physics, cosmology, and dark matter.</ns0:v>
      </ns0:c>
      <ns0:c r="F225" s="9" t="str">
        <ns0:f>HYPERLINK("https://physics.aimersociety.com/astrophysics","https://physics.aimersociety.com/astrophysics")</ns0:f>
        <ns0:v>https://physics.aimersociety.com/astrophysics</ns0:v>
      </ns0:c>
      <ns0:c r="G225" s="8" t="str">
        <ns0:v>/astrophysics</ns0:v>
      </ns0:c>
      <ns0:c r="H225" s="8" t="str">
        <ns0:v>src/lib/appDirectory.ts</ns0:v>
      </ns0:c>
      <ns0:c r="I225" s="8" t="str"/>
    </ns0:row>
    <ns0:row r="226" ht="82" customHeight="1">
      <ns0:c r="A226" s="8" t="n">
        <ns0:v>220</ns0:v>
      </ns0:c>
      <ns0:c r="B226" s="8" t="str">
        <ns0:v>Physics Inventions</ns0:v>
      </ns0:c>
      <ns0:c r="C226" s="8" t="str">
        <ns0:v>Space &amp; Earth Physics</ns0:v>
      </ns0:c>
      <ns0:c r="D226" s="8" t="str">
        <ns0:v>Modules</ns0:v>
      </ns0:c>
      <ns0:c r="E226" s="8" t="str">
        <ns0:v>Explore 100+ physics inventions, discoveries, and technologies.</ns0:v>
      </ns0:c>
      <ns0:c r="F226" s="9" t="str">
        <ns0:f>HYPERLINK("https://physics.aimersociety.com/physics-innovations","https://physics.aimersociety.com/physics-innovations")</ns0:f>
        <ns0:v>https://physics.aimersociety.com/physics-innovations</ns0:v>
      </ns0:c>
      <ns0:c r="G226" s="8" t="str">
        <ns0:v>/physics-innovations</ns0:v>
      </ns0:c>
      <ns0:c r="H226" s="8" t="str">
        <ns0:v>src/lib/appDirectory.ts</ns0:v>
      </ns0:c>
      <ns0:c r="I226" s="8" t="str"/>
    </ns0:row>
    <ns0:row r="227" ht="82" customHeight="1">
      <ns0:c r="A227" s="8" t="n">
        <ns0:v>221</ns0:v>
      </ns0:c>
      <ns0:c r="B227" s="8" t="str">
        <ns0:v>Scale of Universe</ns0:v>
      </ns0:c>
      <ns0:c r="C227" s="8" t="str">
        <ns0:v>Space &amp; Earth Physics</ns0:v>
      </ns0:c>
      <ns0:c r="D227" s="8" t="str">
        <ns0:v>Modules</ns0:v>
      </ns0:c>
      <ns0:c r="E227" s="8" t="str">
        <ns0:v>Zoom from particles to galaxies using powers of ten.</ns0:v>
      </ns0:c>
      <ns0:c r="F227" s="9" t="str">
        <ns0:f>HYPERLINK("https://physics.aimersociety.com/physics/scale-of-universe","https://physics.aimersociety.com/physics/scale-of-universe")</ns0:f>
        <ns0:v>https://physics.aimersociety.com/physics/scale-of-universe</ns0:v>
      </ns0:c>
      <ns0:c r="G227" s="8" t="str">
        <ns0:v>/physics/scale-of-universe</ns0:v>
      </ns0:c>
      <ns0:c r="H227" s="8" t="str">
        <ns0:v>src/lib/appDirectory.ts</ns0:v>
      </ns0:c>
      <ns0:c r="I227" s="8" t="str"/>
    </ns0:row>
    <ns0:row r="228" ht="82" customHeight="1">
      <ns0:c r="A228" s="8" t="n">
        <ns0:v>222</ns0:v>
      </ns0:c>
      <ns0:c r="B228" s="8" t="str">
        <ns0:v>Fluid Mechanics</ns0:v>
      </ns0:c>
      <ns0:c r="C228" s="8" t="str">
        <ns0:v>Thermal &amp; Fluids</ns0:v>
      </ns0:c>
      <ns0:c r="D228" s="8" t="str">
        <ns0:v>Modules</ns0:v>
      </ns0:c>
      <ns0:c r="E228" s="8" t="str">
        <ns0:v>Pressure, buoyancy, Bernoulli flow, density, and viscosity.</ns0:v>
      </ns0:c>
      <ns0:c r="F228" s="9" t="str">
        <ns0:f>HYPERLINK("https://physics.aimersociety.com/topics/fluid-mechanics","https://physics.aimersociety.com/topics/fluid-mechanics")</ns0:f>
        <ns0:v>https://physics.aimersociety.com/topics/fluid-mechanics</ns0:v>
      </ns0:c>
      <ns0:c r="G228" s="8" t="str">
        <ns0:v>/topics/fluid-mechanics</ns0:v>
      </ns0:c>
      <ns0:c r="H228" s="8" t="str">
        <ns0:v>src/lib/appDirectory.ts</ns0:v>
      </ns0:c>
      <ns0:c r="I228" s="8" t="str"/>
    </ns0:row>
    <ns0:row r="229" ht="82" customHeight="1">
      <ns0:c r="A229" s="8" t="n">
        <ns0:v>223</ns0:v>
      </ns0:c>
      <ns0:c r="B229" s="8" t="str">
        <ns0:v>Thermodynamics</ns0:v>
      </ns0:c>
      <ns0:c r="C229" s="8" t="str">
        <ns0:v>Thermal &amp; Fluids</ns0:v>
      </ns0:c>
      <ns0:c r="D229" s="8" t="str">
        <ns0:v>Modules</ns0:v>
      </ns0:c>
      <ns0:c r="E229" s="8" t="str">
        <ns0:v>Heat, temperature, ideal gases, entropy, engines, and energy flow.</ns0:v>
      </ns0:c>
      <ns0:c r="F229" s="9" t="str">
        <ns0:f>HYPERLINK("https://physics.aimersociety.com/topics/thermodynamics","https://physics.aimersociety.com/topics/thermodynamics")</ns0:f>
        <ns0:v>https://physics.aimersociety.com/topics/thermodynamics</ns0:v>
      </ns0:c>
      <ns0:c r="G229" s="8" t="str">
        <ns0:v>/topics/thermodynamics</ns0:v>
      </ns0:c>
      <ns0:c r="H229" s="8" t="str">
        <ns0:v>src/lib/appDirectory.ts</ns0:v>
      </ns0:c>
      <ns0:c r="I229" s="8" t="str"/>
    </ns0:row>
    <ns0:row r="230" ht="82" customHeight="1">
      <ns0:c r="A230" s="8" t="n">
        <ns0:v>224</ns0:v>
      </ns0:c>
      <ns0:c r="B230" s="8" t="str">
        <ns0:v>Atmosphere Optics</ns0:v>
      </ns0:c>
      <ns0:c r="C230" s="8" t="str">
        <ns0:v>Waves &amp; Optics</ns0:v>
      </ns0:c>
      <ns0:c r="D230" s="8" t="str">
        <ns0:v>Modules</ns0:v>
      </ns0:c>
      <ns0:c r="E230" s="8" t="str">
        <ns0:v>Explore layers, aurora, meteors, satellites, and sky phenomena.</ns0:v>
      </ns0:c>
      <ns0:c r="F230" s="9" t="str">
        <ns0:f>HYPERLINK("https://physics.aimersociety.com/atmosphere","https://physics.aimersociety.com/atmosphere")</ns0:f>
        <ns0:v>https://physics.aimersociety.com/atmosphere</ns0:v>
      </ns0:c>
      <ns0:c r="G230" s="8" t="str">
        <ns0:v>/atmosphere</ns0:v>
      </ns0:c>
      <ns0:c r="H230" s="8" t="str">
        <ns0:v>src/lib/appDirectory.ts</ns0:v>
      </ns0:c>
      <ns0:c r="I230" s="8" t="str"/>
    </ns0:row>
    <ns0:row r="231" ht="82" customHeight="1">
      <ns0:c r="A231" s="8" t="n">
        <ns0:v>225</ns0:v>
      </ns0:c>
      <ns0:c r="B231" s="8" t="str">
        <ns0:v>Light, Shadows &amp; Reflection</ns0:v>
      </ns0:c>
      <ns0:c r="C231" s="8" t="str">
        <ns0:v>Waves &amp; Optics</ns0:v>
      </ns0:c>
      <ns0:c r="D231" s="8" t="str">
        <ns0:v>Modules</ns0:v>
      </ns0:c>
      <ns0:c r="E231" s="8" t="str">
        <ns0:v>Open the Class 6 light and shadows interactive lab.</ns0:v>
      </ns0:c>
      <ns0:c r="F231" s="9" t="str">
        <ns0:f>HYPERLINK("https://physics.aimersociety.com/experiments/shadows-eclipses","https://physics.aimersociety.com/experiments/shadows-eclipses")</ns0:f>
        <ns0:v>https://physics.aimersociety.com/experiments/shadows-eclipses</ns0:v>
      </ns0:c>
      <ns0:c r="G231" s="8" t="str">
        <ns0:v>/experiments/shadows-eclipses</ns0:v>
      </ns0:c>
      <ns0:c r="H231" s="8" t="str">
        <ns0:v>src/lib/appDirectory.ts</ns0:v>
      </ns0:c>
      <ns0:c r="I231" s="8" t="str"/>
    </ns0:row>
    <ns0:row r="232" ht="82" customHeight="1">
      <ns0:c r="A232" s="8" t="n">
        <ns0:v>226</ns0:v>
      </ns0:c>
      <ns0:c r="B232" s="8" t="str">
        <ns0:v>Ray &amp; Wave Optics</ns0:v>
      </ns0:c>
      <ns0:c r="C232" s="8" t="str">
        <ns0:v>Waves &amp; Optics</ns0:v>
      </ns0:c>
      <ns0:c r="D232" s="8" t="str">
        <ns0:v>Modules</ns0:v>
      </ns0:c>
      <ns0:c r="E232" s="8" t="str">
        <ns0:v>Reflection, refraction, prisms, lenses, interference, and diffraction.</ns0:v>
      </ns0:c>
      <ns0:c r="F232" s="9" t="str">
        <ns0:f>HYPERLINK("https://physics.aimersociety.com/topics/optics","https://physics.aimersociety.com/topics/optics")</ns0:f>
        <ns0:v>https://physics.aimersociety.com/topics/optics</ns0:v>
      </ns0:c>
      <ns0:c r="G232" s="8" t="str">
        <ns0:v>/topics/optics</ns0:v>
      </ns0:c>
      <ns0:c r="H232" s="8" t="str">
        <ns0:v>src/lib/appDirectory.ts</ns0:v>
      </ns0:c>
      <ns0:c r="I232" s="8" t="str"/>
    </ns0:row>
    <ns0:row r="233" ht="82" customHeight="1">
      <ns0:c r="A233" s="8" t="n">
        <ns0:v>227</ns0:v>
      </ns0:c>
      <ns0:c r="B233" s="8" t="str">
        <ns0:v>Video Motion Analysis</ns0:v>
      </ns0:c>
      <ns0:c r="C233" s="8" t="str">
        <ns0:v>Waves &amp; Optics</ns0:v>
      </ns0:c>
      <ns0:c r="D233" s="8" t="str">
        <ns0:v>Modules</ns0:v>
      </ns0:c>
      <ns0:c r="E233" s="8" t="str">
        <ns0:v>Measure motion from video and compare with graph predictions.</ns0:v>
      </ns0:c>
      <ns0:c r="F233" s="9" t="str">
        <ns0:f>HYPERLINK("https://physics.aimersociety.com/video","https://physics.aimersociety.com/video")</ns0:f>
        <ns0:v>https://physics.aimersociety.com/video</ns0:v>
      </ns0:c>
      <ns0:c r="G233" s="8" t="str">
        <ns0:v>/video</ns0:v>
      </ns0:c>
      <ns0:c r="H233" s="8" t="str">
        <ns0:v>src/lib/appDirectory.ts</ns0:v>
      </ns0:c>
      <ns0:c r="I233" s="8" t="str"/>
    </ns0:row>
    <ns0:row r="234" ht="82" customHeight="1">
      <ns0:c r="A234" s="8" t="n">
        <ns0:v>228</ns0:v>
      </ns0:c>
      <ns0:c r="B234" s="8" t="str">
        <ns0:v>Waves</ns0:v>
      </ns0:c>
      <ns0:c r="C234" s="8" t="str">
        <ns0:v>Waves &amp; Optics</ns0:v>
      </ns0:c>
      <ns0:c r="D234" s="8" t="str">
        <ns0:v>Modules</ns0:v>
      </ns0:c>
      <ns0:c r="E234" s="8" t="str">
        <ns0:v>Wave speed, frequency, wavelength, sound, standing waves, and beats.</ns0:v>
      </ns0:c>
      <ns0:c r="F234" s="9" t="str">
        <ns0:f>HYPERLINK("https://physics.aimersociety.com/topics/waves","https://physics.aimersociety.com/topics/waves")</ns0:f>
        <ns0:v>https://physics.aimersociety.com/topics/waves</ns0:v>
      </ns0:c>
      <ns0:c r="G234" s="8" t="str">
        <ns0:v>/topics/waves</ns0:v>
      </ns0:c>
      <ns0:c r="H234" s="8" t="str">
        <ns0:v>src/lib/appDirectory.ts</ns0:v>
      </ns0:c>
      <ns0:c r="I234" s="8" t="str"/>
    </ns0:row>
    <ns0:row r="235" ht="82" customHeight="1">
      <ns0:c r="A235" s="8" t="n">
        <ns0:v>229</ns0:v>
      </ns0:c>
      <ns0:c r="B235" s="8" t="str">
        <ns0:v>All Modules</ns0:v>
      </ns0:c>
      <ns0:c r="C235" s="8" t="str">
        <ns0:v>All Modules</ns0:v>
      </ns0:c>
      <ns0:c r="D235" s="8" t="str">
        <ns0:v>Page</ns0:v>
      </ns0:c>
      <ns0:c r="E235" s="8" t="str">
        <ns0:v>One searchable map of every physics module, curriculum concept, experiment, Pro Lab experience, teaching workflow, and platform tool.</ns0:v>
      </ns0:c>
      <ns0:c r="F235" s="9" t="str">
        <ns0:f>HYPERLINK("https://physics.aimersociety.com/all-modules","https://physics.aimersociety.com/all-modules")</ns0:f>
        <ns0:v>https://physics.aimersociety.com/all-modules</ns0:v>
      </ns0:c>
      <ns0:c r="G235" s="8" t="str">
        <ns0:v>/all-modules</ns0:v>
      </ns0:c>
      <ns0:c r="H235" s="8" t="str">
        <ns0:v>src/pages/AppDirectoryPage.tsx</ns0:v>
      </ns0:c>
      <ns0:c r="I235" s="8" t="str"/>
    </ns0:row>
    <ns0:row r="236" ht="82" customHeight="1">
      <ns0:c r="A236" s="8" t="n">
        <ns0:v>230</ns0:v>
      </ns0:c>
      <ns0:c r="B236" s="8" t="str">
        <ns0:v>Cosmology</ns0:v>
      </ns0:c>
      <ns0:c r="C236" s="8" t="str">
        <ns0:v>Astrophysics</ns0:v>
      </ns0:c>
      <ns0:c r="D236" s="8" t="str">
        <ns0:v>Page</ns0:v>
      </ns0:c>
      <ns0:c r="E236" s="8" t="str">
        <ns0:v>From the early universe to today, explore how space and galaxies evolve.</ns0:v>
      </ns0:c>
      <ns0:c r="F236" s="9" t="str">
        <ns0:f>HYPERLINK("https://physics.aimersociety.com/astrophysics/cosmology","https://physics.aimersociety.com/astrophysics/cosmology")</ns0:f>
        <ns0:v>https://physics.aimersociety.com/astrophysics/cosmology</ns0:v>
      </ns0:c>
      <ns0:c r="G236" s="8" t="str">
        <ns0:v>/astrophysics/cosmology</ns0:v>
      </ns0:c>
      <ns0:c r="H236" s="8" t="str">
        <ns0:v>src/pages/CosmologyStudioPage.tsx</ns0:v>
      </ns0:c>
      <ns0:c r="I236" s="8" t="str"/>
    </ns0:row>
    <ns0:row r="237" ht="82" customHeight="1">
      <ns0:c r="A237" s="8" t="n">
        <ns0:v>231</ns0:v>
      </ns0:c>
      <ns0:c r="B237" s="8" t="str">
        <ns0:v>Exoplanets</ns0:v>
      </ns0:c>
      <ns0:c r="C237" s="8" t="str">
        <ns0:v>Astrophysics</ns0:v>
      </ns0:c>
      <ns0:c r="D237" s="8" t="str">
        <ns0:v>Page</ns0:v>
      </ns0:c>
      <ns0:c r="E237" s="8" t="str">
        <ns0:v>Discover distant worlds with transit photometry and radial velocity.</ns0:v>
      </ns0:c>
      <ns0:c r="F237" s="9" t="str">
        <ns0:f>HYPERLINK("https://physics.aimersociety.com/astrophysics/exoplanets","https://physics.aimersociety.com/astrophysics/exoplanets")</ns0:f>
        <ns0:v>https://physics.aimersociety.com/astrophysics/exoplanets</ns0:v>
      </ns0:c>
      <ns0:c r="G237" s="8" t="str">
        <ns0:v>/astrophysics/exoplanets</ns0:v>
      </ns0:c>
      <ns0:c r="H237" s="8" t="str">
        <ns0:v>src/pages/ExoplanetsStudioPage.tsx</ns0:v>
      </ns0:c>
      <ns0:c r="I237" s="8" t="str"/>
    </ns0:row>
    <ns0:row r="238" ht="82" customHeight="1">
      <ns0:c r="A238" s="8" t="n">
        <ns0:v>232</ns0:v>
      </ns0:c>
      <ns0:c r="B238" s="8" t="str">
        <ns0:v>Galaxies</ns0:v>
      </ns0:c>
      <ns0:c r="C238" s="8" t="str">
        <ns0:v>Astrophysics</ns0:v>
      </ns0:c>
      <ns0:c r="D238" s="8" t="str">
        <ns0:v>Page</ns0:v>
      </ns0:c>
      <ns0:c r="E238" s="8" t="str">
        <ns0:v>Measure galaxy rotation and reveal the dark-matter halo.</ns0:v>
      </ns0:c>
      <ns0:c r="F238" s="9" t="str">
        <ns0:f>HYPERLINK("https://physics.aimersociety.com/astrophysics/galaxies","https://physics.aimersociety.com/astrophysics/galaxies")</ns0:f>
        <ns0:v>https://physics.aimersociety.com/astrophysics/galaxies</ns0:v>
      </ns0:c>
      <ns0:c r="G238" s="8" t="str">
        <ns0:v>/astrophysics/galaxies</ns0:v>
      </ns0:c>
      <ns0:c r="H238" s="8" t="str">
        <ns0:v>src/pages/GalaxiesStudioPage.tsx</ns0:v>
      </ns0:c>
      <ns0:c r="I238" s="8" t="str"/>
    </ns0:row>
    <ns0:row r="239" ht="82" customHeight="1">
      <ns0:c r="A239" s="8" t="n">
        <ns0:v>233</ns0:v>
      </ns0:c>
      <ns0:c r="B239" s="8" t="str">
        <ns0:v>Solar System</ns0:v>
      </ns0:c>
      <ns0:c r="C239" s="8" t="str">
        <ns0:v>Astrophysics</ns0:v>
      </ns0:c>
      <ns0:c r="D239" s="8" t="str">
        <ns0:v>Page</ns0:v>
      </ns0:c>
      <ns0:c r="E239" s="8" t="str">
        <ns0:v>Explore planetary motion and Kepler’s third law.</ns0:v>
      </ns0:c>
      <ns0:c r="F239" s="9" t="str">
        <ns0:f>HYPERLINK("https://physics.aimersociety.com/astrophysics/solar-system","https://physics.aimersociety.com/astrophysics/solar-system")</ns0:f>
        <ns0:v>https://physics.aimersociety.com/astrophysics/solar-system</ns0:v>
      </ns0:c>
      <ns0:c r="G239" s="8" t="str">
        <ns0:v>/astrophysics/solar-system</ns0:v>
      </ns0:c>
      <ns0:c r="H239" s="8" t="str">
        <ns0:v>src/pages/SolarSystemStudioPage.tsx</ns0:v>
      </ns0:c>
      <ns0:c r="I239" s="8" t="str"/>
    </ns0:row>
    <ns0:row r="240" ht="82" customHeight="1">
      <ns0:c r="A240" s="8" t="n">
        <ns0:v>234</ns0:v>
      </ns0:c>
      <ns0:c r="B240" s="8" t="str">
        <ns0:v>Spectroscopy</ns0:v>
      </ns0:c>
      <ns0:c r="C240" s="8" t="str">
        <ns0:v>Astrophysics</ns0:v>
      </ns0:c>
      <ns0:c r="D240" s="8" t="str">
        <ns0:v>Page</ns0:v>
      </ns0:c>
      <ns0:c r="E240" s="8" t="str">
        <ns0:v>Analyze starlight, identify elements, and measure the cosmos.</ns0:v>
      </ns0:c>
      <ns0:c r="F240" s="9" t="str">
        <ns0:f>HYPERLINK("https://physics.aimersociety.com/astrophysics/spectroscopy","https://physics.aimersociety.com/astrophysics/spectroscopy")</ns0:f>
        <ns0:v>https://physics.aimersociety.com/astrophysics/spectroscopy</ns0:v>
      </ns0:c>
      <ns0:c r="G240" s="8" t="str">
        <ns0:v>/astrophysics/spectroscopy</ns0:v>
      </ns0:c>
      <ns0:c r="H240" s="8" t="str">
        <ns0:v>src/pages/SpectroscopyStudioPage.tsx</ns0:v>
      </ns0:c>
      <ns0:c r="I240" s="8" t="str"/>
    </ns0:row>
    <ns0:row r="241" ht="82" customHeight="1">
      <ns0:c r="A241" s="8" t="n">
        <ns0:v>235</ns0:v>
      </ns0:c>
      <ns0:c r="B241" s="8" t="str">
        <ns0:v>Stellar Life</ns0:v>
      </ns0:c>
      <ns0:c r="C241" s="8" t="str">
        <ns0:v>Astrophysics</ns0:v>
      </ns0:c>
      <ns0:c r="D241" s="8" t="str">
        <ns0:v>Page</ns0:v>
      </ns0:c>
      <ns0:c r="E241" s="8" t="str">
        <ns0:v>A star’s mass determines its evolution, luminosity, and lifetime.</ns0:v>
      </ns0:c>
      <ns0:c r="F241" s="9" t="str">
        <ns0:f>HYPERLINK("https://physics.aimersociety.com/astrophysics/stellar-life","https://physics.aimersociety.com/astrophysics/stellar-life")</ns0:f>
        <ns0:v>https://physics.aimersociety.com/astrophysics/stellar-life</ns0:v>
      </ns0:c>
      <ns0:c r="G241" s="8" t="str">
        <ns0:v>/astrophysics/stellar-life</ns0:v>
      </ns0:c>
      <ns0:c r="H241" s="8" t="str">
        <ns0:v>src/pages/StellarLifeStudioPage.tsx</ns0:v>
      </ns0:c>
      <ns0:c r="I241" s="8" t="str"/>
    </ns0:row>
    <ns0:row r="242" ht="82" customHeight="1">
      <ns0:c r="A242" s="8" t="n">
        <ns0:v>236</ns0:v>
      </ns0:c>
      <ns0:c r="B242" s="8" t="str">
        <ns0:v>Client Demos</ns0:v>
      </ns0:c>
      <ns0:c r="C242" s="8" t="str">
        <ns0:v>Client Demos</ns0:v>
      </ns0:c>
      <ns0:c r="D242" s="8" t="str">
        <ns0:v>Page</ns0:v>
      </ns0:c>
      <ns0:c r="E242" s="8" t="str">
        <ns0:v>Begin with the flagship Pro Lab, transition into visually memorable science, demonstrate hands-on experimentation, and close with the complete education platform.</ns0:v>
      </ns0:c>
      <ns0:c r="F242" s="9" t="str">
        <ns0:f>HYPERLINK("https://physics.aimersociety.com/client-demos","https://physics.aimersociety.com/client-demos")</ns0:f>
        <ns0:v>https://physics.aimersociety.com/client-demos</ns0:v>
      </ns0:c>
      <ns0:c r="G242" s="8" t="str">
        <ns0:v>/client-demos</ns0:v>
      </ns0:c>
      <ns0:c r="H242" s="8" t="str">
        <ns0:v>src/pages/ClientDemosPage.tsx</ns0:v>
      </ns0:c>
      <ns0:c r="I242" s="8" t="str"/>
    </ns0:row>
    <ns0:row r="243" ht="82" customHeight="1">
      <ns0:c r="A243" s="8" t="n">
        <ns0:v>237</ns0:v>
      </ns0:c>
      <ns0:c r="B243" s="8" t="str">
        <ns0:v>Physics Tool Comparison</ns0:v>
      </ns0:c>
      <ns0:c r="C243" s="8" t="str">
        <ns0:v>Comparison</ns0:v>
      </ns0:c>
      <ns0:c r="D243" s="8" t="str">
        <ns0:v>Page</ns0:v>
      </ns0:c>
      <ns0:c r="E243" s="8" t="str">
        <ns0:v>Ranking PhysicsLab 100 against leading physics simulation and teaching platforms across simulation depth, teaching flow, reference support, openness, and classroom fit.
</ns0:v>
      </ns0:c>
      <ns0:c r="F243" s="9" t="str">
        <ns0:f>HYPERLINK("https://physics.aimersociety.com/comparison","https://physics.aimersociety.com/comparison")</ns0:f>
        <ns0:v>https://physics.aimersociety.com/comparison</ns0:v>
      </ns0:c>
      <ns0:c r="G243" s="8" t="str">
        <ns0:v>/comparison</ns0:v>
      </ns0:c>
      <ns0:c r="H243" s="8" t="str">
        <ns0:v>src/pages/ComparisonPage.tsx</ns0:v>
      </ns0:c>
      <ns0:c r="I243" s="8" t="str"/>
    </ns0:row>
    <ns0:row r="244" ht="82" customHeight="1">
      <ns0:c r="A244" s="8" t="n">
        <ns0:v>238</ns0:v>
      </ns0:c>
      <ns0:c r="B244" s="8" t="str">
        <ns0:v>Concept Studio</ns0:v>
      </ns0:c>
      <ns0:c r="C244" s="8" t="str">
        <ns0:v>Concept Studio</ns0:v>
      </ns0:c>
      <ns0:c r="D244" s="8" t="str">
        <ns0:v>Page</ns0:v>
      </ns0:c>
      <ns0:c r="E244" s="8" t="str">
        <ns0:v>Select a concept to explore its explanation.</ns0:v>
      </ns0:c>
      <ns0:c r="F244" s="9" t="str">
        <ns0:f>HYPERLINK("https://physics.aimersociety.com/concept-studio","https://physics.aimersociety.com/concept-studio")</ns0:f>
        <ns0:v>https://physics.aimersociety.com/concept-studio</ns0:v>
      </ns0:c>
      <ns0:c r="G244" s="8" t="str">
        <ns0:v>/concept-studio</ns0:v>
      </ns0:c>
      <ns0:c r="H244" s="8" t="str">
        <ns0:v>src/pages/ConceptExperiencesPage.tsx</ns0:v>
      </ns0:c>
      <ns0:c r="I244" s="8" t="str"/>
    </ns0:row>
    <ns0:row r="245" ht="82" customHeight="1">
      <ns0:c r="A245" s="8" t="n">
        <ns0:v>239</ns0:v>
      </ns0:c>
      <ns0:c r="B245" s="8" t="str">
        <ns0:v>Capacitors</ns0:v>
      </ns0:c>
      <ns0:c r="C245" s="8" t="str">
        <ns0:v>Electricity</ns0:v>
      </ns0:c>
      <ns0:c r="D245" s="8" t="str">
        <ns0:v>Page</ns0:v>
      </ns0:c>
      <ns0:c r="E245" s="8" t="str">
        <ns0:v>Explore how geometry and materials affect capacitance, charge, and energy.</ns0:v>
      </ns0:c>
      <ns0:c r="F245" s="9" t="str">
        <ns0:f>HYPERLINK("https://physics.aimersociety.com/electricity/capacitors","https://physics.aimersociety.com/electricity/capacitors")</ns0:f>
        <ns0:v>https://physics.aimersociety.com/electricity/capacitors</ns0:v>
      </ns0:c>
      <ns0:c r="G245" s="8" t="str">
        <ns0:v>/electricity/capacitors</ns0:v>
      </ns0:c>
      <ns0:c r="H245" s="8" t="str">
        <ns0:v>src/pages/CapacitorsStudioPage.tsx</ns0:v>
      </ns0:c>
      <ns0:c r="I245" s="8" t="str"/>
    </ns0:row>
    <ns0:row r="246" ht="82" customHeight="1">
      <ns0:c r="A246" s="8" t="n">
        <ns0:v>240</ns0:v>
      </ns0:c>
      <ns0:c r="B246" s="8" t="str">
        <ns0:v>Circuits</ns0:v>
      </ns0:c>
      <ns0:c r="C246" s="8" t="str">
        <ns0:v>Electricity</ns0:v>
      </ns0:c>
      <ns0:c r="D246" s="8" t="str">
        <ns0:v>Page</ns0:v>
      </ns0:c>
      <ns0:c r="E246" s="8" t="str">
        <ns0:v>Build, explore, and measure a parallel DC circuit.</ns0:v>
      </ns0:c>
      <ns0:c r="F246" s="9" t="str">
        <ns0:f>HYPERLINK("https://physics.aimersociety.com/electricity/circuits","https://physics.aimersociety.com/electricity/circuits")</ns0:f>
        <ns0:v>https://physics.aimersociety.com/electricity/circuits</ns0:v>
      </ns0:c>
      <ns0:c r="G246" s="8" t="str">
        <ns0:v>/electricity/circuits</ns0:v>
      </ns0:c>
      <ns0:c r="H246" s="8" t="str">
        <ns0:v>src/pages/CircuitsStudioPage.tsx</ns0:v>
      </ns0:c>
      <ns0:c r="I246" s="8" t="str"/>
    </ns0:row>
    <ns0:row r="247" ht="82" customHeight="1">
      <ns0:c r="A247" s="8" t="n">
        <ns0:v>241</ns0:v>
      </ns0:c>
      <ns0:c r="B247" s="8" t="str">
        <ns0:v>Coulomb Force</ns0:v>
      </ns0:c>
      <ns0:c r="C247" s="8" t="str">
        <ns0:v>Electricity</ns0:v>
      </ns0:c>
      <ns0:c r="D247" s="8" t="str">
        <ns0:v>Page</ns0:v>
      </ns0:c>
      <ns0:c r="E247" s="8" t="str">
        <ns0:v>Explore the electrostatic force between two point-like charged spheres.</ns0:v>
      </ns0:c>
      <ns0:c r="F247" s="9" t="str">
        <ns0:f>HYPERLINK("https://physics.aimersociety.com/electricity/coulomb-force","https://physics.aimersociety.com/electricity/coulomb-force")</ns0:f>
        <ns0:v>https://physics.aimersociety.com/electricity/coulomb-force</ns0:v>
      </ns0:c>
      <ns0:c r="G247" s="8" t="str">
        <ns0:v>/electricity/coulomb-force</ns0:v>
      </ns0:c>
      <ns0:c r="H247" s="8" t="str">
        <ns0:v>src/pages/CoulombForceStudioPage.tsx</ns0:v>
      </ns0:c>
      <ns0:c r="I247" s="8" t="str"/>
    </ns0:row>
    <ns0:row r="248" ht="82" customHeight="1">
      <ns0:c r="A248" s="8" t="n">
        <ns0:v>242</ns0:v>
      </ns0:c>
      <ns0:c r="B248" s="8" t="str">
        <ns0:v>Current</ns0:v>
      </ns0:c>
      <ns0:c r="C248" s="8" t="str">
        <ns0:v>Electricity</ns0:v>
      </ns0:c>
      <ns0:c r="D248" s="8" t="str">
        <ns0:v>Page</ns0:v>
      </ns0:c>
      <ns0:c r="E248" s="8" t="str">
        <ns0:v>Explore charge flow, drift speed, and current density in a wire.</ns0:v>
      </ns0:c>
      <ns0:c r="F248" s="9" t="str">
        <ns0:f>HYPERLINK("https://physics.aimersociety.com/electricity/current","https://physics.aimersociety.com/electricity/current")</ns0:f>
        <ns0:v>https://physics.aimersociety.com/electricity/current</ns0:v>
      </ns0:c>
      <ns0:c r="G248" s="8" t="str">
        <ns0:v>/electricity/current</ns0:v>
      </ns0:c>
      <ns0:c r="H248" s="8" t="str">
        <ns0:v>src/pages/CurrentStudioPage.tsx</ns0:v>
      </ns0:c>
      <ns0:c r="I248" s="8" t="str"/>
    </ns0:row>
    <ns0:row r="249" ht="82" customHeight="1">
      <ns0:c r="A249" s="8" t="n">
        <ns0:v>243</ns0:v>
      </ns0:c>
      <ns0:c r="B249" s="8" t="str">
        <ns0:v>Electric Field</ns0:v>
      </ns0:c>
      <ns0:c r="C249" s="8" t="str">
        <ns0:v>Electricity</ns0:v>
      </ns0:c>
      <ns0:c r="D249" s="8" t="str">
        <ns0:v>Page</ns0:v>
      </ns0:c>
      <ns0:c r="E249" s="8" t="str">
        <ns0:v>Explore electric fields from point charges and see how they superpose in space.</ns0:v>
      </ns0:c>
      <ns0:c r="F249" s="9" t="str">
        <ns0:f>HYPERLINK("https://physics.aimersociety.com/electricity/electric-field","https://physics.aimersociety.com/electricity/electric-field")</ns0:f>
        <ns0:v>https://physics.aimersociety.com/electricity/electric-field</ns0:v>
      </ns0:c>
      <ns0:c r="G249" s="8" t="str">
        <ns0:v>/electricity/electric-field</ns0:v>
      </ns0:c>
      <ns0:c r="H249" s="8" t="str">
        <ns0:v>src/pages/ElectricFieldStudioPage.tsx</ns0:v>
      </ns0:c>
      <ns0:c r="I249" s="8" t="str"/>
    </ns0:row>
    <ns0:row r="250" ht="82" customHeight="1">
      <ns0:c r="A250" s="8" t="n">
        <ns0:v>244</ns0:v>
      </ns0:c>
      <ns0:c r="B250" s="8" t="str">
        <ns0:v>Electric Potential</ns0:v>
      </ns0:c>
      <ns0:c r="C250" s="8" t="str">
        <ns0:v>Electricity</ns0:v>
      </ns0:c>
      <ns0:c r="D250" s="8" t="str">
        <ns0:v>Page</ns0:v>
      </ns0:c>
      <ns0:c r="E250" s="8" t="str">
        <ns0:v>Explore electric potential from multiple point charges.</ns0:v>
      </ns0:c>
      <ns0:c r="F250" s="9" t="str">
        <ns0:f>HYPERLINK("https://physics.aimersociety.com/electricity/electric-potential","https://physics.aimersociety.com/electricity/electric-potential")</ns0:f>
        <ns0:v>https://physics.aimersociety.com/electricity/electric-potential</ns0:v>
      </ns0:c>
      <ns0:c r="G250" s="8" t="str">
        <ns0:v>/electricity/electric-potential</ns0:v>
      </ns0:c>
      <ns0:c r="H250" s="8" t="str">
        <ns0:v>src/pages/ElectricPotentialStudioPage.tsx</ns0:v>
      </ns0:c>
      <ns0:c r="I250" s="8" t="str"/>
    </ns0:row>
    <ns0:row r="251" ht="82" customHeight="1">
      <ns0:c r="A251" s="8" t="n">
        <ns0:v>245</ns0:v>
      </ns0:c>
      <ns0:c r="B251" s="8" t="str">
        <ns0:v>Amplifiers</ns0:v>
      </ns0:c>
      <ns0:c r="C251" s="8" t="str">
        <ns0:v>Electronics</ns0:v>
      </ns0:c>
      <ns0:c r="D251" s="8" t="str">
        <ns0:v>Page</ns0:v>
      </ns0:c>
      <ns0:c r="E251" s="8" t="str">
        <ns0:v>Explore voltage gain, clipping, and bias in a transistor amplifier.</ns0:v>
      </ns0:c>
      <ns0:c r="F251" s="9" t="str">
        <ns0:f>HYPERLINK("https://physics.aimersociety.com/electronics/amplifiers","https://physics.aimersociety.com/electronics/amplifiers")</ns0:f>
        <ns0:v>https://physics.aimersociety.com/electronics/amplifiers</ns0:v>
      </ns0:c>
      <ns0:c r="G251" s="8" t="str">
        <ns0:v>/electronics/amplifiers</ns0:v>
      </ns0:c>
      <ns0:c r="H251" s="8" t="str">
        <ns0:v>src/pages/AmplifiersStudioPage.tsx</ns0:v>
      </ns0:c>
      <ns0:c r="I251" s="8" t="str"/>
    </ns0:row>
    <ns0:row r="252" ht="82" customHeight="1">
      <ns0:c r="A252" s="8" t="n">
        <ns0:v>246</ns0:v>
      </ns0:c>
      <ns0:c r="B252" s="8" t="str">
        <ns0:v>Diodes</ns0:v>
      </ns0:c>
      <ns0:c r="C252" s="8" t="str">
        <ns0:v>Electronics</ns0:v>
      </ns0:c>
      <ns0:c r="D252" s="8" t="str">
        <ns0:v>Page</ns0:v>
      </ns0:c>
      <ns0:c r="E252" s="8" t="str">
        <ns0:v>Build and explore a real PN diode circuit. Adjust the bias and observe how the diode conducts.</ns0:v>
      </ns0:c>
      <ns0:c r="F252" s="9" t="str">
        <ns0:f>HYPERLINK("https://physics.aimersociety.com/electronics/diodes","https://physics.aimersociety.com/electronics/diodes")</ns0:f>
        <ns0:v>https://physics.aimersociety.com/electronics/diodes</ns0:v>
      </ns0:c>
      <ns0:c r="G252" s="8" t="str">
        <ns0:v>/electronics/diodes</ns0:v>
      </ns0:c>
      <ns0:c r="H252" s="8" t="str">
        <ns0:v>src/pages/DiodesStudioPage.tsx</ns0:v>
      </ns0:c>
      <ns0:c r="I252" s="8" t="str"/>
    </ns0:row>
    <ns0:row r="253" ht="82" customHeight="1">
      <ns0:c r="A253" s="8" t="n">
        <ns0:v>247</ns0:v>
      </ns0:c>
      <ns0:c r="B253" s="8" t="str">
        <ns0:v>Logic Gates</ns0:v>
      </ns0:c>
      <ns0:c r="C253" s="8" t="str">
        <ns0:v>Electronics</ns0:v>
      </ns0:c>
      <ns0:c r="D253" s="8" t="str">
        <ns0:v>Page</ns0:v>
      </ns0:c>
      <ns0:c r="E253" s="8" t="str">
        <ns0:v>Build gate networks and explore Boolean logic in real time.</ns0:v>
      </ns0:c>
      <ns0:c r="F253" s="9" t="str">
        <ns0:f>HYPERLINK("https://physics.aimersociety.com/electronics/logic-gates","https://physics.aimersociety.com/electronics/logic-gates")</ns0:f>
        <ns0:v>https://physics.aimersociety.com/electronics/logic-gates</ns0:v>
      </ns0:c>
      <ns0:c r="G253" s="8" t="str">
        <ns0:v>/electronics/logic-gates</ns0:v>
      </ns0:c>
      <ns0:c r="H253" s="8" t="str">
        <ns0:v>src/pages/LogicGatesStudioPage.tsx</ns0:v>
      </ns0:c>
      <ns0:c r="I253" s="8" t="str"/>
    </ns0:row>
    <ns0:row r="254" ht="82" customHeight="1">
      <ns0:c r="A254" s="8" t="n">
        <ns0:v>248</ns0:v>
      </ns0:c>
      <ns0:c r="B254" s="8" t="str">
        <ns0:v>Semiconductors</ns0:v>
      </ns0:c>
      <ns0:c r="C254" s="8" t="str">
        <ns0:v>Electronics</ns0:v>
      </ns0:c>
      <ns0:c r="D254" s="8" t="str">
        <ns0:v>Page</ns0:v>
      </ns0:c>
      <ns0:c r="E254" s="8" t="str">
        <ns0:v>Explore silicon crystal, doping, and charge carriers.</ns0:v>
      </ns0:c>
      <ns0:c r="F254" s="9" t="str">
        <ns0:f>HYPERLINK("https://physics.aimersociety.com/electronics/semiconductors","https://physics.aimersociety.com/electronics/semiconductors")</ns0:f>
        <ns0:v>https://physics.aimersociety.com/electronics/semiconductors</ns0:v>
      </ns0:c>
      <ns0:c r="G254" s="8" t="str">
        <ns0:v>/electronics/semiconductors</ns0:v>
      </ns0:c>
      <ns0:c r="H254" s="8" t="str">
        <ns0:v>src/pages/SemiconductorsStudioPage.tsx</ns0:v>
      </ns0:c>
      <ns0:c r="I254" s="8" t="str"/>
    </ns0:row>
    <ns0:row r="255" ht="82" customHeight="1">
      <ns0:c r="A255" s="8" t="n">
        <ns0:v>249</ns0:v>
      </ns0:c>
      <ns0:c r="B255" s="8" t="str">
        <ns0:v>Sensors</ns0:v>
      </ns0:c>
      <ns0:c r="C255" s="8" t="str">
        <ns0:v>Electronics</ns0:v>
      </ns0:c>
      <ns0:c r="D255" s="8" t="str">
        <ns0:v>Page</ns0:v>
      </ns0:c>
      <ns0:c r="E255" s="8" t="str">
        <ns0:v>Investigate how environmental changes affect sensor output and build a calibration curve.</ns0:v>
      </ns0:c>
      <ns0:c r="F255" s="9" t="str">
        <ns0:f>HYPERLINK("https://physics.aimersociety.com/electronics/sensors","https://physics.aimersociety.com/electronics/sensors")</ns0:f>
        <ns0:v>https://physics.aimersociety.com/electronics/sensors</ns0:v>
      </ns0:c>
      <ns0:c r="G255" s="8" t="str">
        <ns0:v>/electronics/sensors</ns0:v>
      </ns0:c>
      <ns0:c r="H255" s="8" t="str">
        <ns0:v>src/pages/SensorsStudioPage.tsx</ns0:v>
      </ns0:c>
      <ns0:c r="I255" s="8" t="str"/>
    </ns0:row>
    <ns0:row r="256" ht="82" customHeight="1">
      <ns0:c r="A256" s="8" t="n">
        <ns0:v>250</ns0:v>
      </ns0:c>
      <ns0:c r="B256" s="8" t="str">
        <ns0:v>Transistors</ns0:v>
      </ns0:c>
      <ns0:c r="C256" s="8" t="str">
        <ns0:v>Electronics</ns0:v>
      </ns0:c>
      <ns0:c r="D256" s="8" t="str">
        <ns0:v>Page</ns0:v>
      </ns0:c>
      <ns0:c r="E256" s="8" t="str">
        <ns0:v>Explore how base current controls collector current in an NPN transistor.</ns0:v>
      </ns0:c>
      <ns0:c r="F256" s="9" t="str">
        <ns0:f>HYPERLINK("https://physics.aimersociety.com/electronics/transistors","https://physics.aimersociety.com/electronics/transistors")</ns0:f>
        <ns0:v>https://physics.aimersociety.com/electronics/transistors</ns0:v>
      </ns0:c>
      <ns0:c r="G256" s="8" t="str">
        <ns0:v>/electronics/transistors</ns0:v>
      </ns0:c>
      <ns0:c r="H256" s="8" t="str">
        <ns0:v>src/pages/TransistorsStudioPage.tsx</ns0:v>
      </ns0:c>
      <ns0:c r="I256" s="8" t="str"/>
    </ns0:row>
    <ns0:row r="257" ht="82" customHeight="1">
      <ns0:c r="A257" s="8" t="n">
        <ns0:v>251</ns0:v>
      </ns0:c>
      <ns0:c r="B257" s="8" t="str">
        <ns0:v>Guided Experiments</ns0:v>
      </ns0:c>
      <ns0:c r="C257" s="8" t="str">
        <ns0:v>Experiments</ns0:v>
      </ns0:c>
      <ns0:c r="D257" s="8" t="str">
        <ns0:v>Page</ns0:v>
      </ns0:c>
      <ns0:c r="E257" s="8" t="str">
        <ns0:v>Browser-only physics labs for school to undergraduate learning, with visible model limits, local reports, guided calculators, 3D views, and notebook-ready observations.
</ns0:v>
      </ns0:c>
      <ns0:c r="F257" s="9" t="str">
        <ns0:f>HYPERLINK("https://physics.aimersociety.com/experiments","https://physics.aimersociety.com/experiments")</ns0:f>
        <ns0:v>https://physics.aimersociety.com/experiments</ns0:v>
      </ns0:c>
      <ns0:c r="G257" s="8" t="str">
        <ns0:v>/experiments</ns0:v>
      </ns0:c>
      <ns0:c r="H257" s="8" t="str">
        <ns0:v>src/pages/ExperimentsPage.tsx</ns0:v>
      </ns0:c>
      <ns0:c r="I257" s="8" t="str"/>
    </ns0:row>
    <ns0:row r="258" ht="82" customHeight="1">
      <ns0:c r="A258" s="8" t="n">
        <ns0:v>252</ns0:v>
      </ns0:c>
      <ns0:c r="B258" s="8" t="str">
        <ns0:v>Bernoulli</ns0:v>
      </ns0:c>
      <ns0:c r="C258" s="8" t="str">
        <ns0:v>Fluid Mechanics</ns0:v>
      </ns0:c>
      <ns0:c r="D258" s="8" t="str">
        <ns0:v>Page</ns0:v>
      </ns0:c>
      <ns0:c r="E258" s="8" t="str">
        <ns0:v>Venturi tube: pressure, velocity and energy in a flowing fluid.</ns0:v>
      </ns0:c>
      <ns0:c r="F258" s="9" t="str">
        <ns0:f>HYPERLINK("https://physics.aimersociety.com/fluid-mechanics/bernoulli","https://physics.aimersociety.com/fluid-mechanics/bernoulli")</ns0:f>
        <ns0:v>https://physics.aimersociety.com/fluid-mechanics/bernoulli</ns0:v>
      </ns0:c>
      <ns0:c r="G258" s="8" t="str">
        <ns0:v>/fluid-mechanics/bernoulli</ns0:v>
      </ns0:c>
      <ns0:c r="H258" s="8" t="str">
        <ns0:v>src/pages/BernoulliStudioPage.tsx</ns0:v>
      </ns0:c>
      <ns0:c r="I258" s="8" t="str"/>
    </ns0:row>
    <ns0:row r="259" ht="82" customHeight="1">
      <ns0:c r="A259" s="8" t="n">
        <ns0:v>253</ns0:v>
      </ns0:c>
      <ns0:c r="B259" s="8" t="str">
        <ns0:v>Buoyancy</ns0:v>
      </ns0:c>
      <ns0:c r="C259" s="8" t="str">
        <ns0:v>Fluid Mechanics</ns0:v>
      </ns0:c>
      <ns0:c r="D259" s="8" t="str">
        <ns0:v>Page</ns0:v>
      </ns0:c>
      <ns0:c r="E259" s="8" t="str">
        <ns0:v>Explore how fluid displacement creates an upward buoyant force.</ns0:v>
      </ns0:c>
      <ns0:c r="F259" s="9" t="str">
        <ns0:f>HYPERLINK("https://physics.aimersociety.com/fluid-mechanics/buoyancy","https://physics.aimersociety.com/fluid-mechanics/buoyancy")</ns0:f>
        <ns0:v>https://physics.aimersociety.com/fluid-mechanics/buoyancy</ns0:v>
      </ns0:c>
      <ns0:c r="G259" s="8" t="str">
        <ns0:v>/fluid-mechanics/buoyancy</ns0:v>
      </ns0:c>
      <ns0:c r="H259" s="8" t="str">
        <ns0:v>src/pages/BuoyancyStudioPage.tsx</ns0:v>
      </ns0:c>
      <ns0:c r="I259" s="8" t="str"/>
    </ns0:row>
    <ns0:row r="260" ht="82" customHeight="1">
      <ns0:c r="A260" s="8" t="n">
        <ns0:v>254</ns0:v>
      </ns0:c>
      <ns0:c r="B260" s="8" t="str">
        <ns0:v>Continuity</ns0:v>
      </ns0:c>
      <ns0:c r="C260" s="8" t="str">
        <ns0:v>Fluid Mechanics</ns0:v>
      </ns0:c>
      <ns0:c r="D260" s="8" t="str">
        <ns0:v>Page</ns0:v>
      </ns0:c>
      <ns0:c r="E260" s="8" t="str">
        <ns0:v>Explore how flow speed changes with cross-sectional area in steady incompressible flow.</ns0:v>
      </ns0:c>
      <ns0:c r="F260" s="9" t="str">
        <ns0:f>HYPERLINK("https://physics.aimersociety.com/fluid-mechanics/continuity","https://physics.aimersociety.com/fluid-mechanics/continuity")</ns0:f>
        <ns0:v>https://physics.aimersociety.com/fluid-mechanics/continuity</ns0:v>
      </ns0:c>
      <ns0:c r="G260" s="8" t="str">
        <ns0:v>/fluid-mechanics/continuity</ns0:v>
      </ns0:c>
      <ns0:c r="H260" s="8" t="str">
        <ns0:v>src/pages/ContinuityStudioPage.tsx</ns0:v>
      </ns0:c>
      <ns0:c r="I260" s="8" t="str"/>
    </ns0:row>
    <ns0:row r="261" ht="82" customHeight="1">
      <ns0:c r="A261" s="8" t="n">
        <ns0:v>255</ns0:v>
      </ns0:c>
      <ns0:c r="B261" s="8" t="str">
        <ns0:v>Density Pressure</ns0:v>
      </ns0:c>
      <ns0:c r="C261" s="8" t="str">
        <ns0:v>Fluid Mechanics</ns0:v>
      </ns0:c>
      <ns0:c r="D261" s="8" t="str">
        <ns0:v>Page</ns0:v>
      </ns0:c>
      <ns0:c r="E261" s="8" t="str">
        <ns0:v>Explore how density, depth and gravity determine pressure in a fluid.</ns0:v>
      </ns0:c>
      <ns0:c r="F261" s="9" t="str">
        <ns0:f>HYPERLINK("https://physics.aimersociety.com/fluid-mechanics/density-pressure","https://physics.aimersociety.com/fluid-mechanics/density-pressure")</ns0:f>
        <ns0:v>https://physics.aimersociety.com/fluid-mechanics/density-pressure</ns0:v>
      </ns0:c>
      <ns0:c r="G261" s="8" t="str">
        <ns0:v>/fluid-mechanics/density-pressure</ns0:v>
      </ns0:c>
      <ns0:c r="H261" s="8" t="str">
        <ns0:v>src/pages/DensityPressureStudioPage.tsx</ns0:v>
      </ns0:c>
      <ns0:c r="I261" s="8" t="str"/>
    </ns0:row>
    <ns0:row r="262" ht="82" customHeight="1">
      <ns0:c r="A262" s="8" t="n">
        <ns0:v>256</ns0:v>
      </ns0:c>
      <ns0:c r="B262" s="8" t="str">
        <ns0:v>Hydrostatics</ns0:v>
      </ns0:c>
      <ns0:c r="C262" s="8" t="str">
        <ns0:v>Fluid Mechanics</ns0:v>
      </ns0:c>
      <ns0:c r="D262" s="8" t="str">
        <ns0:v>Page</ns0:v>
      </ns0:c>
      <ns0:c r="E262" s="8" t="str">
        <ns0:v>Measure pressure variation through a static fluid column.</ns0:v>
      </ns0:c>
      <ns0:c r="F262" s="9" t="str">
        <ns0:f>HYPERLINK("https://physics.aimersociety.com/fluid-mechanics/hydrostatics","https://physics.aimersociety.com/fluid-mechanics/hydrostatics")</ns0:f>
        <ns0:v>https://physics.aimersociety.com/fluid-mechanics/hydrostatics</ns0:v>
      </ns0:c>
      <ns0:c r="G262" s="8" t="str">
        <ns0:v>/fluid-mechanics/hydrostatics</ns0:v>
      </ns0:c>
      <ns0:c r="H262" s="8" t="str">
        <ns0:v>src/pages/HydrostaticsStudioPage.tsx</ns0:v>
      </ns0:c>
      <ns0:c r="I262" s="8" t="str"/>
    </ns0:row>
    <ns0:row r="263" ht="82" customHeight="1">
      <ns0:c r="A263" s="8" t="n">
        <ns0:v>257</ns0:v>
      </ns0:c>
      <ns0:c r="B263" s="8" t="str">
        <ns0:v>Viscosity</ns0:v>
      </ns0:c>
      <ns0:c r="C263" s="8" t="str">
        <ns0:v>Fluid Mechanics</ns0:v>
      </ns0:c>
      <ns0:c r="D263" s="8" t="str">
        <ns0:v>Page</ns0:v>
      </ns0:c>
      <ns0:c r="E263" s="8" t="str">
        <ns0:v>A falling sphere viscometer reveals resistance in a viscous fluid.</ns0:v>
      </ns0:c>
      <ns0:c r="F263" s="9" t="str">
        <ns0:f>HYPERLINK("https://physics.aimersociety.com/fluid-mechanics/viscosity","https://physics.aimersociety.com/fluid-mechanics/viscosity")</ns0:f>
        <ns0:v>https://physics.aimersociety.com/fluid-mechanics/viscosity</ns0:v>
      </ns0:c>
      <ns0:c r="G263" s="8" t="str">
        <ns0:v>/fluid-mechanics/viscosity</ns0:v>
      </ns0:c>
      <ns0:c r="H263" s="8" t="str">
        <ns0:v>src/pages/ViscosityStudioPage.tsx</ns0:v>
      </ns0:c>
      <ns0:c r="I263" s="8" t="str"/>
    </ns0:row>
    <ns0:row r="264" ht="82" customHeight="1">
      <ns0:c r="A264" s="8" t="n">
        <ns0:v>258</ns0:v>
      </ns0:c>
      <ns0:c r="B264" s="8" t="str">
        <ns0:v>Current Wire</ns0:v>
      </ns0:c>
      <ns0:c r="C264" s="8" t="str">
        <ns0:v>Magnetism</ns0:v>
      </ns0:c>
      <ns0:c r="D264" s="8" t="str">
        <ns0:v>Page</ns0:v>
      </ns0:c>
      <ns0:c r="E264" s="8" t="str">
        <ns0:v>Explore the magnetic field around a straight current-carrying conductor.</ns0:v>
      </ns0:c>
      <ns0:c r="F264" s="9" t="str">
        <ns0:f>HYPERLINK("https://physics.aimersociety.com/magnetism/current-wire","https://physics.aimersociety.com/magnetism/current-wire")</ns0:f>
        <ns0:v>https://physics.aimersociety.com/magnetism/current-wire</ns0:v>
      </ns0:c>
      <ns0:c r="G264" s="8" t="str">
        <ns0:v>/magnetism/current-wire</ns0:v>
      </ns0:c>
      <ns0:c r="H264" s="8" t="str">
        <ns0:v>src/pages/CurrentWireStudioPage.tsx</ns0:v>
      </ns0:c>
      <ns0:c r="I264" s="8" t="str"/>
    </ns0:row>
    <ns0:row r="265" ht="82" customHeight="1">
      <ns0:c r="A265" s="8" t="n">
        <ns0:v>259</ns0:v>
      </ns0:c>
      <ns0:c r="B265" s="8" t="str">
        <ns0:v>Electromagnets</ns0:v>
      </ns0:c>
      <ns0:c r="C265" s="8" t="str">
        <ns0:v>Magnetism</ns0:v>
      </ns0:c>
      <ns0:c r="D265" s="8" t="str">
        <ns0:v>Page</ns0:v>
      </ns0:c>
      <ns0:c r="E265" s="8" t="str">
        <ns0:v>Explore how current, turns, and air gap determine lifting force.</ns0:v>
      </ns0:c>
      <ns0:c r="F265" s="9" t="str">
        <ns0:f>HYPERLINK("https://physics.aimersociety.com/magnetism/electromagnets","https://physics.aimersociety.com/magnetism/electromagnets")</ns0:f>
        <ns0:v>https://physics.aimersociety.com/magnetism/electromagnets</ns0:v>
      </ns0:c>
      <ns0:c r="G265" s="8" t="str">
        <ns0:v>/magnetism/electromagnets</ns0:v>
      </ns0:c>
      <ns0:c r="H265" s="8" t="str">
        <ns0:v>src/pages/ElectromagnetsStudioPage.tsx</ns0:v>
      </ns0:c>
      <ns0:c r="I265" s="8" t="str"/>
    </ns0:row>
    <ns0:row r="266" ht="82" customHeight="1">
      <ns0:c r="A266" s="8" t="n">
        <ns0:v>260</ns0:v>
      </ns0:c>
      <ns0:c r="B266" s="8" t="str">
        <ns0:v>Field Lines</ns0:v>
      </ns0:c>
      <ns0:c r="C266" s="8" t="str">
        <ns0:v>Magnetism</ns0:v>
      </ns0:c>
      <ns0:c r="D266" s="8" t="str">
        <ns0:v>Page</ns0:v>
      </ns0:c>
      <ns0:c r="E266" s="8" t="str">
        <ns0:v>Explore magnetic fields, field lines, and vector measurements with real-time simulation.</ns0:v>
      </ns0:c>
      <ns0:c r="F266" s="9" t="str">
        <ns0:f>HYPERLINK("https://physics.aimersociety.com/magnetism/field-lines","https://physics.aimersociety.com/magnetism/field-lines")</ns0:f>
        <ns0:v>https://physics.aimersociety.com/magnetism/field-lines</ns0:v>
      </ns0:c>
      <ns0:c r="G266" s="8" t="str">
        <ns0:v>/magnetism/field-lines</ns0:v>
      </ns0:c>
      <ns0:c r="H266" s="8" t="str">
        <ns0:v>src/pages/MagneticFieldLinesStudioPage.tsx</ns0:v>
      </ns0:c>
      <ns0:c r="I266" s="8" t="str"/>
    </ns0:row>
    <ns0:row r="267" ht="82" customHeight="1">
      <ns0:c r="A267" s="8" t="n">
        <ns0:v>261</ns0:v>
      </ns0:c>
      <ns0:c r="B267" s="8" t="str">
        <ns0:v>Induction</ns0:v>
      </ns0:c>
      <ns0:c r="C267" s="8" t="str">
        <ns0:v>Magnetism</ns0:v>
      </ns0:c>
      <ns0:c r="D267" s="8" t="str">
        <ns0:v>Page</ns0:v>
      </ns0:c>
      <ns0:c r="E267" s="8" t="str">
        <ns0:v>A changing magnetic flux induces an emf in a closed circuit.</ns0:v>
      </ns0:c>
      <ns0:c r="F267" s="9" t="str">
        <ns0:f>HYPERLINK("https://physics.aimersociety.com/magnetism/induction","https://physics.aimersociety.com/magnetism/induction")</ns0:f>
        <ns0:v>https://physics.aimersociety.com/magnetism/induction</ns0:v>
      </ns0:c>
      <ns0:c r="G267" s="8" t="str">
        <ns0:v>/magnetism/induction</ns0:v>
      </ns0:c>
      <ns0:c r="H267" s="8" t="str">
        <ns0:v>src/pages/InductionStudioPage.tsx</ns0:v>
      </ns0:c>
      <ns0:c r="I267" s="8" t="str"/>
    </ns0:row>
    <ns0:row r="268" ht="82" customHeight="1">
      <ns0:c r="A268" s="8" t="n">
        <ns0:v>262</ns0:v>
      </ns0:c>
      <ns0:c r="B268" s="8" t="str">
        <ns0:v>Lorentz Force</ns0:v>
      </ns0:c>
      <ns0:c r="C268" s="8" t="str">
        <ns0:v>Magnetism</ns0:v>
      </ns0:c>
      <ns0:c r="D268" s="8" t="str">
        <ns0:v>Page</ns0:v>
      </ns0:c>
      <ns0:c r="E268" s="8" t="str">
        <ns0:v>Observe how a charged particle moves in a uniform magnetic field.</ns0:v>
      </ns0:c>
      <ns0:c r="F268" s="9" t="str">
        <ns0:f>HYPERLINK("https://physics.aimersociety.com/magnetism/lorentz-force","https://physics.aimersociety.com/magnetism/lorentz-force")</ns0:f>
        <ns0:v>https://physics.aimersociety.com/magnetism/lorentz-force</ns0:v>
      </ns0:c>
      <ns0:c r="G268" s="8" t="str">
        <ns0:v>/magnetism/lorentz-force</ns0:v>
      </ns0:c>
      <ns0:c r="H268" s="8" t="str">
        <ns0:v>src/pages/LorentzForceStudioPage.tsx</ns0:v>
      </ns0:c>
      <ns0:c r="I268" s="8" t="str"/>
    </ns0:row>
    <ns0:row r="269" ht="82" customHeight="1">
      <ns0:c r="A269" s="8" t="n">
        <ns0:v>263</ns0:v>
      </ns0:c>
      <ns0:c r="B269" s="8" t="str">
        <ns0:v>Solenoids</ns0:v>
      </ns0:c>
      <ns0:c r="C269" s="8" t="str">
        <ns0:v>Magnetism</ns0:v>
      </ns0:c>
      <ns0:c r="D269" s="8" t="str">
        <ns0:v>Page</ns0:v>
      </ns0:c>
      <ns0:c r="E269" s="8" t="str">
        <ns0:v>Explore how current, turns, and core material determine the magnetic field inside a solenoid.</ns0:v>
      </ns0:c>
      <ns0:c r="F269" s="9" t="str">
        <ns0:f>HYPERLINK("https://physics.aimersociety.com/magnetism/solenoids","https://physics.aimersociety.com/magnetism/solenoids")</ns0:f>
        <ns0:v>https://physics.aimersociety.com/magnetism/solenoids</ns0:v>
      </ns0:c>
      <ns0:c r="G269" s="8" t="str">
        <ns0:v>/magnetism/solenoids</ns0:v>
      </ns0:c>
      <ns0:c r="H269" s="8" t="str">
        <ns0:v>src/pages/SolenoidStudioPage.tsx</ns0:v>
      </ns0:c>
      <ns0:c r="I269" s="8" t="str"/>
    </ns0:row>
    <ns0:row r="270" ht="82" customHeight="1">
      <ns0:c r="A270" s="8" t="n">
        <ns0:v>264</ns0:v>
      </ns0:c>
      <ns0:c r="B270" s="8" t="str">
        <ns0:v>Mass Time</ns0:v>
      </ns0:c>
      <ns0:c r="C270" s="8" t="str">
        <ns0:v>Measurement</ns0:v>
      </ns0:c>
      <ns0:c r="D270" s="8" t="str">
        <ns0:v>Page</ns0:v>
      </ns0:c>
      <ns0:c r="E270" s="8" t="str">
        <ns0:v>For uniform motion, v = d / Δt. The cart crosses Gate 1 at 0.2 s and Gate 2 after another d/v seconds. The pulse width represents a 3 cm flag passing each gate.</ns0:v>
      </ns0:c>
      <ns0:c r="F270" s="9" t="str">
        <ns0:f>HYPERLINK("https://physics.aimersociety.com/measurement/mass-time","https://physics.aimersociety.com/measurement/mass-time")</ns0:f>
        <ns0:v>https://physics.aimersociety.com/measurement/mass-time</ns0:v>
      </ns0:c>
      <ns0:c r="G270" s="8" t="str">
        <ns0:v>/measurement/mass-time</ns0:v>
      </ns0:c>
      <ns0:c r="H270" s="8" t="str">
        <ns0:v>src/pages/MassTimePage.tsx</ns0:v>
      </ns0:c>
      <ns0:c r="I270" s="8" t="str"/>
    </ns0:row>
    <ns0:row r="271" ht="82" customHeight="1">
      <ns0:c r="A271" s="8" t="n">
        <ns0:v>265</ns0:v>
      </ns0:c>
      <ns0:c r="B271" s="8" t="str">
        <ns0:v>Measurement — Meter Scale</ns0:v>
      </ns0:c>
      <ns0:c r="C271" s="8" t="str">
        <ns0:v>Measurement</ns0:v>
      </ns0:c>
      <ns0:c r="D271" s="8" t="str">
        <ns0:v>Page</ns0:v>
      </ns0:c>
      <ns0:c r="E271" s="8" t="str">
        <ns0:v>Measure the length of a block using a meter rule. Adjust your viewing angle to explore parallax error.</ns0:v>
      </ns0:c>
      <ns0:c r="F271" s="9" t="str">
        <ns0:f>HYPERLINK("https://physics.aimersociety.com/measurement/meter-scale","https://physics.aimersociety.com/measurement/meter-scale")</ns0:f>
        <ns0:v>https://physics.aimersociety.com/measurement/meter-scale</ns0:v>
      </ns0:c>
      <ns0:c r="G271" s="8" t="str">
        <ns0:v>/measurement/meter-scale</ns0:v>
      </ns0:c>
      <ns0:c r="H271" s="8" t="str">
        <ns0:v>src/pages/MeterScalePage.tsx</ns0:v>
      </ns0:c>
      <ns0:c r="I271" s="8" t="str"/>
    </ns0:row>
    <ns0:row r="272" ht="82" customHeight="1">
      <ns0:c r="A272" s="8" t="n">
        <ns0:v>266</ns0:v>
      </ns0:c>
      <ns0:c r="B272" s="8" t="str">
        <ns0:v>MEASUREMENT — UNCERTAINTY &amp;amp; ERROR ANALYSIS</ns0:v>
      </ns0:c>
      <ns0:c r="C272" s="8" t="str">
        <ns0:v>Measurement</ns0:v>
      </ns0:c>
      <ns0:c r="D272" s="8" t="str">
        <ns0:v>Page</ns0:v>
      </ns0:c>
      <ns0:c r="E272" s="8" t="str">
        <ns0:v>Repeat measurements, analyze uncertainty, and quantify error.</ns0:v>
      </ns0:c>
      <ns0:c r="F272" s="9" t="str">
        <ns0:f>HYPERLINK("https://physics.aimersociety.com/measurement/uncertainty","https://physics.aimersociety.com/measurement/uncertainty")</ns0:f>
        <ns0:v>https://physics.aimersociety.com/measurement/uncertainty</ns0:v>
      </ns0:c>
      <ns0:c r="G272" s="8" t="str">
        <ns0:v>/measurement/uncertainty</ns0:v>
      </ns0:c>
      <ns0:c r="H272" s="8" t="str">
        <ns0:v>src/pages/UncertaintyPage.tsx</ns0:v>
      </ns0:c>
      <ns0:c r="I272" s="8" t="str"/>
    </ns0:row>
    <ns0:row r="273" ht="82" customHeight="1">
      <ns0:c r="A273" s="8" t="n">
        <ns0:v>267</ns0:v>
      </ns0:c>
      <ns0:c r="B273" s="8" t="str">
        <ns0:v>Micrometer Screw Gauge</ns0:v>
      </ns0:c>
      <ns0:c r="C273" s="8" t="str">
        <ns0:v>Measurement</ns0:v>
      </ns0:c>
      <ns0:c r="D273" s="8" t="str">
        <ns0:v>Page</ns0:v>
      </ns0:c>
      <ns0:c r="E273" s="8" t="str">
        <ns0:v>Measure the diameter of a thin wire using a micrometer screw gauge.</ns0:v>
      </ns0:c>
      <ns0:c r="F273" s="9" t="str">
        <ns0:f>HYPERLINK("https://physics.aimersociety.com/measurement/micrometer","https://physics.aimersociety.com/measurement/micrometer")</ns0:f>
        <ns0:v>https://physics.aimersociety.com/measurement/micrometer</ns0:v>
      </ns0:c>
      <ns0:c r="G273" s="8" t="str">
        <ns0:v>/measurement/micrometer</ns0:v>
      </ns0:c>
      <ns0:c r="H273" s="8" t="str">
        <ns0:v>src/pages/MicrometerPage.tsx</ns0:v>
      </ns0:c>
      <ns0:c r="I273" s="8" t="str"/>
    </ns0:row>
    <ns0:row r="274" ht="82" customHeight="1">
      <ns0:c r="A274" s="8" t="n">
        <ns0:v>268</ns0:v>
      </ns0:c>
      <ns0:c r="B274" s="8" t="str">
        <ns0:v>SPHEROMETER</ns0:v>
      </ns0:c>
      <ns0:c r="C274" s="8" t="str">
        <ns0:v>Measurement</ns0:v>
      </ns0:c>
      <ns0:c r="D274" s="8" t="str">
        <ns0:v>Page</ns0:v>
      </ns0:c>
      <ns0:c r="E274" s="8" t="str">
        <ns0:v>Measure the radius of curvature of a spherical surface using a three-legged spherometer.</ns0:v>
      </ns0:c>
      <ns0:c r="F274" s="9" t="str">
        <ns0:f>HYPERLINK("https://physics.aimersociety.com/measurement/spherometer","https://physics.aimersociety.com/measurement/spherometer")</ns0:f>
        <ns0:v>https://physics.aimersociety.com/measurement/spherometer</ns0:v>
      </ns0:c>
      <ns0:c r="G274" s="8" t="str">
        <ns0:v>/measurement/spherometer</ns0:v>
      </ns0:c>
      <ns0:c r="H274" s="8" t="str">
        <ns0:v>src/pages/SpherometerPage.tsx</ns0:v>
      </ns0:c>
      <ns0:c r="I274" s="8" t="str"/>
    </ns0:row>
    <ns0:row r="275" ht="82" customHeight="1">
      <ns0:c r="A275" s="8" t="n">
        <ns0:v>269</ns0:v>
      </ns0:c>
      <ns0:c r="B275" s="8" t="str">
        <ns0:v>Vernier Caliper</ns0:v>
      </ns0:c>
      <ns0:c r="C275" s="8" t="str">
        <ns0:v>Measurement</ns0:v>
      </ns0:c>
      <ns0:c r="D275" s="8" t="str">
        <ns0:v>Page</ns0:v>
      </ns0:c>
      <ns0:c r="E275" s="8" t="str">
        <ns0:v>Precision Builds Understanding</ns0:v>
      </ns0:c>
      <ns0:c r="F275" s="9" t="str">
        <ns0:f>HYPERLINK("https://physics.aimersociety.com/measurement/vernier-caliper","https://physics.aimersociety.com/measurement/vernier-caliper")</ns0:f>
        <ns0:v>https://physics.aimersociety.com/measurement/vernier-caliper</ns0:v>
      </ns0:c>
      <ns0:c r="G275" s="8" t="str">
        <ns0:v>/measurement/vernier-caliper</ns0:v>
      </ns0:c>
      <ns0:c r="H275" s="8" t="str">
        <ns0:v>src/pages/VernierCaliperPage.tsx</ns0:v>
      </ns0:c>
      <ns0:c r="I275" s="8" t="str"/>
    </ns0:row>
    <ns0:row r="276" ht="82" customHeight="1">
      <ns0:c r="A276" s="8" t="n">
        <ns0:v>270</ns0:v>
      </ns0:c>
      <ns0:c r="B276" s="8" t="str">
        <ns0:v>Atwood Machine</ns0:v>
      </ns0:c>
      <ns0:c r="C276" s="8" t="str">
        <ns0:v>Mechanics</ns0:v>
      </ns0:c>
      <ns0:c r="D276" s="8" t="str">
        <ns0:v>Page</ns0:v>
      </ns0:c>
      <ns0:c r="E276" s="8" t="str">
        <ns0:v>Two masses connected by a light string over a pulley. Explore how mass, inertia and rotation affect the motion.</ns0:v>
      </ns0:c>
      <ns0:c r="F276" s="9" t="str">
        <ns0:f>HYPERLINK("https://physics.aimersociety.com/mechanics/pulley-systems","https://physics.aimersociety.com/mechanics/pulley-systems")</ns0:f>
        <ns0:v>https://physics.aimersociety.com/mechanics/pulley-systems</ns0:v>
      </ns0:c>
      <ns0:c r="G276" s="8" t="str">
        <ns0:v>/mechanics/pulley-systems</ns0:v>
      </ns0:c>
      <ns0:c r="H276" s="8" t="str">
        <ns0:v>src/pages/AtwoodPage.tsx</ns0:v>
      </ns0:c>
      <ns0:c r="I276" s="8" t="str"/>
    </ns0:row>
    <ns0:row r="277" ht="82" customHeight="1">
      <ns0:c r="A277" s="8" t="n">
        <ns0:v>271</ns0:v>
      </ns0:c>
      <ns0:c r="B277" s="8" t="str">
        <ns0:v>Equilibrium Com</ns0:v>
      </ns0:c>
      <ns0:c r="C277" s="8" t="str">
        <ns0:v>Mechanics</ns0:v>
      </ns0:c>
      <ns0:c r="D277" s="8" t="str">
        <ns0:v>Page</ns0:v>
      </ns0:c>
      <ns0:c r="E277" s="8" t="str">
        <ns0:v>Explore how mass distribution and support geometry affect stability.</ns0:v>
      </ns0:c>
      <ns0:c r="F277" s="9" t="str">
        <ns0:f>HYPERLINK("https://physics.aimersociety.com/mechanics/equilibrium-com","https://physics.aimersociety.com/mechanics/equilibrium-com")</ns0:f>
        <ns0:v>https://physics.aimersociety.com/mechanics/equilibrium-com</ns0:v>
      </ns0:c>
      <ns0:c r="G277" s="8" t="str">
        <ns0:v>/mechanics/equilibrium-com</ns0:v>
      </ns0:c>
      <ns0:c r="H277" s="8" t="str">
        <ns0:v>src/pages/EquilibriumComPage.tsx</ns0:v>
      </ns0:c>
      <ns0:c r="I277" s="8" t="str"/>
    </ns0:row>
    <ns0:row r="278" ht="82" customHeight="1">
      <ns0:c r="A278" s="8" t="n">
        <ns0:v>272</ns0:v>
      </ns0:c>
      <ns0:c r="B278" s="8" t="str">
        <ns0:v>Free-Body Diagrams</ns0:v>
      </ns0:c>
      <ns0:c r="C278" s="8" t="str">
        <ns0:v>Mechanics</ns0:v>
      </ns0:c>
      <ns0:c r="D278" s="8" t="str">
        <ns0:v>Page</ns0:v>
      </ns0:c>
      <ns0:c r="E278" s="8" t="str">
        <ns0:v>Analyze the forces on a crate and explore how the net force determines its motion.</ns0:v>
      </ns0:c>
      <ns0:c r="F278" s="9" t="str">
        <ns0:f>HYPERLINK("https://physics.aimersociety.com/mechanics/free-body-diagrams","https://physics.aimersociety.com/mechanics/free-body-diagrams")</ns0:f>
        <ns0:v>https://physics.aimersociety.com/mechanics/free-body-diagrams</ns0:v>
      </ns0:c>
      <ns0:c r="G278" s="8" t="str">
        <ns0:v>/mechanics/free-body-diagrams</ns0:v>
      </ns0:c>
      <ns0:c r="H278" s="8" t="str">
        <ns0:v>src/pages/FreeBodyPage.tsx</ns0:v>
      </ns0:c>
      <ns0:c r="I278" s="8" t="str"/>
    </ns0:row>
    <ns0:row r="279" ht="82" customHeight="1">
      <ns0:c r="A279" s="8" t="n">
        <ns0:v>273</ns0:v>
      </ns0:c>
      <ns0:c r="B279" s="8" t="str">
        <ns0:v>Inclined Plane</ns0:v>
      </ns0:c>
      <ns0:c r="C279" s="8" t="str">
        <ns0:v>Mechanics</ns0:v>
      </ns0:c>
      <ns0:c r="D279" s="8" t="str">
        <ns0:v>Page</ns0:v>
      </ns0:c>
      <ns0:c r="E279" s="8" t="str">
        <ns0:v>Explore forces and motion on an inclined plane with friction.</ns0:v>
      </ns0:c>
      <ns0:c r="F279" s="9" t="str">
        <ns0:f>HYPERLINK("https://physics.aimersociety.com/mechanics/inclined-plane","https://physics.aimersociety.com/mechanics/inclined-plane")</ns0:f>
        <ns0:v>https://physics.aimersociety.com/mechanics/inclined-plane</ns0:v>
      </ns0:c>
      <ns0:c r="G279" s="8" t="str">
        <ns0:v>/mechanics/inclined-plane</ns0:v>
      </ns0:c>
      <ns0:c r="H279" s="8" t="str">
        <ns0:v>src/pages/InclineStudioPage.tsx</ns0:v>
      </ns0:c>
      <ns0:c r="I279" s="8" t="str"/>
    </ns0:row>
    <ns0:row r="280" ht="82" customHeight="1">
      <ns0:c r="A280" s="8" t="n">
        <ns0:v>274</ns0:v>
      </ns0:c>
      <ns0:c r="B280" s="8" t="str">
        <ns0:v>MECHANICS — MOMENTUM &amp;amp; COLLISIONS</ns0:v>
      </ns0:c>
      <ns0:c r="C280" s="8" t="str">
        <ns0:v>Mechanics</ns0:v>
      </ns0:c>
      <ns0:c r="D280" s="8" t="str">
        <ns0:v>Page</ns0:v>
      </ns0:c>
      <ns0:c r="E280" s="8" t="str">
        <ns0:v>Explore how momentum is conserved in collisions, and how the restitution coefficient controls the outcome.</ns0:v>
      </ns0:c>
      <ns0:c r="F280" s="9" t="str">
        <ns0:f>HYPERLINK("https://physics.aimersociety.com/mechanics/momentum-collisions","https://physics.aimersociety.com/mechanics/momentum-collisions")</ns0:f>
        <ns0:v>https://physics.aimersociety.com/mechanics/momentum-collisions</ns0:v>
      </ns0:c>
      <ns0:c r="G280" s="8" t="str">
        <ns0:v>/mechanics/momentum-collisions</ns0:v>
      </ns0:c>
      <ns0:c r="H280" s="8" t="str">
        <ns0:v>src/pages/MomentumCollisionsPage.tsx</ns0:v>
      </ns0:c>
      <ns0:c r="I280" s="8" t="str"/>
    </ns0:row>
    <ns0:row r="281" ht="82" customHeight="1">
      <ns0:c r="A281" s="8" t="n">
        <ns0:v>275</ns0:v>
      </ns0:c>
      <ns0:c r="B281" s="8" t="str">
        <ns0:v>Torque Levers</ns0:v>
      </ns0:c>
      <ns0:c r="C281" s="8" t="str">
        <ns0:v>Mechanics</ns0:v>
      </ns0:c>
      <ns0:c r="D281" s="8" t="str">
        <ns0:v>Page</ns0:v>
      </ns0:c>
      <ns0:c r="E281" s="8" t="str">
        <ns0:v>Explore rotational equilibrium, moment arms and mechanical advantage with an interactive beam balance.</ns0:v>
      </ns0:c>
      <ns0:c r="F281" s="9" t="str">
        <ns0:f>HYPERLINK("https://physics.aimersociety.com/mechanics/torque-levers","https://physics.aimersociety.com/mechanics/torque-levers")</ns0:f>
        <ns0:v>https://physics.aimersociety.com/mechanics/torque-levers</ns0:v>
      </ns0:c>
      <ns0:c r="G281" s="8" t="str">
        <ns0:v>/mechanics/torque-levers</ns0:v>
      </ns0:c>
      <ns0:c r="H281" s="8" t="str">
        <ns0:v>src/pages/TorqueLeversPage.tsx</ns0:v>
      </ns0:c>
      <ns0:c r="I281" s="8" t="str"/>
    </ns0:row>
    <ns0:row r="282" ht="82" customHeight="1">
      <ns0:c r="A282" s="8" t="n">
        <ns0:v>276</ns0:v>
      </ns0:c>
      <ns0:c r="B282" s="8" t="str">
        <ns0:v>Atomic Spectra</ns0:v>
      </ns0:c>
      <ns0:c r="C282" s="8" t="str">
        <ns0:v>Modern Physics</ns0:v>
      </ns0:c>
      <ns0:c r="D282" s="8" t="str">
        <ns0:v>Page</ns0:v>
      </ns0:c>
      <ns0:c r="E282" s="8" t="str">
        <ns0:v>Hydrogen emission lines reveal quantized energy levels.</ns0:v>
      </ns0:c>
      <ns0:c r="F282" s="9" t="str">
        <ns0:f>HYPERLINK("https://physics.aimersociety.com/modern-physics/atomic-spectra","https://physics.aimersociety.com/modern-physics/atomic-spectra")</ns0:f>
        <ns0:v>https://physics.aimersociety.com/modern-physics/atomic-spectra</ns0:v>
      </ns0:c>
      <ns0:c r="G282" s="8" t="str">
        <ns0:v>/modern-physics/atomic-spectra</ns0:v>
      </ns0:c>
      <ns0:c r="H282" s="8" t="str">
        <ns0:v>src/pages/AtomicSpectraStudioPage.tsx</ns0:v>
      </ns0:c>
      <ns0:c r="I282" s="8" t="str"/>
    </ns0:row>
    <ns0:row r="283" ht="82" customHeight="1">
      <ns0:c r="A283" s="8" t="n">
        <ns0:v>277</ns0:v>
      </ns0:c>
      <ns0:c r="B283" s="8" t="str">
        <ns0:v>Matter Waves</ns0:v>
      </ns0:c>
      <ns0:c r="C283" s="8" t="str">
        <ns0:v>Modern Physics</ns0:v>
      </ns0:c>
      <ns0:c r="D283" s="8" t="str">
        <ns0:v>Page</ns0:v>
      </ns0:c>
      <ns0:c r="E283" s="8" t="str">
        <ns0:v>Electron diffraction from a crystal reveals wave–particle duality.</ns0:v>
      </ns0:c>
      <ns0:c r="F283" s="9" t="str">
        <ns0:f>HYPERLINK("https://physics.aimersociety.com/modern-physics/matter-waves","https://physics.aimersociety.com/modern-physics/matter-waves")</ns0:f>
        <ns0:v>https://physics.aimersociety.com/modern-physics/matter-waves</ns0:v>
      </ns0:c>
      <ns0:c r="G283" s="8" t="str">
        <ns0:v>/modern-physics/matter-waves</ns0:v>
      </ns0:c>
      <ns0:c r="H283" s="8" t="str">
        <ns0:v>src/pages/MatterWavesStudioPage.tsx</ns0:v>
      </ns0:c>
      <ns0:c r="I283" s="8" t="str"/>
    </ns0:row>
    <ns0:row r="284" ht="82" customHeight="1">
      <ns0:c r="A284" s="8" t="n">
        <ns0:v>278</ns0:v>
      </ns0:c>
      <ns0:c r="B284" s="8" t="str">
        <ns0:v>Nuclear Structure</ns0:v>
      </ns0:c>
      <ns0:c r="C284" s="8" t="str">
        <ns0:v>Modern Physics</ns0:v>
      </ns0:c>
      <ns0:c r="D284" s="8" t="str">
        <ns0:v>Page</ns0:v>
      </ns0:c>
      <ns0:c r="E284" s="8" t="str">
        <ns0:v>Explore nuclear composition, stability, and binding energy.</ns0:v>
      </ns0:c>
      <ns0:c r="F284" s="9" t="str">
        <ns0:f>HYPERLINK("https://physics.aimersociety.com/modern-physics/nuclear-structure","https://physics.aimersociety.com/modern-physics/nuclear-structure")</ns0:f>
        <ns0:v>https://physics.aimersociety.com/modern-physics/nuclear-structure</ns0:v>
      </ns0:c>
      <ns0:c r="G284" s="8" t="str">
        <ns0:v>/modern-physics/nuclear-structure</ns0:v>
      </ns0:c>
      <ns0:c r="H284" s="8" t="str">
        <ns0:v>src/pages/NuclearStructureStudioPage.tsx</ns0:v>
      </ns0:c>
      <ns0:c r="I284" s="8" t="str"/>
    </ns0:row>
    <ns0:row r="285" ht="82" customHeight="1">
      <ns0:c r="A285" s="8" t="n">
        <ns0:v>279</ns0:v>
      </ns0:c>
      <ns0:c r="B285" s="8" t="str">
        <ns0:v>Photoelectric Effect</ns0:v>
      </ns0:c>
      <ns0:c r="C285" s="8" t="str">
        <ns0:v>Modern Physics</ns0:v>
      </ns0:c>
      <ns0:c r="D285" s="8" t="str">
        <ns0:v>Page</ns0:v>
      </ns0:c>
      <ns0:c r="E285" s="8" t="str">
        <ns0:v>Light ejects electrons when its frequency exceeds a threshold.</ns0:v>
      </ns0:c>
      <ns0:c r="F285" s="9" t="str">
        <ns0:f>HYPERLINK("https://physics.aimersociety.com/modern-physics/photoelectric-effect","https://physics.aimersociety.com/modern-physics/photoelectric-effect")</ns0:f>
        <ns0:v>https://physics.aimersociety.com/modern-physics/photoelectric-effect</ns0:v>
      </ns0:c>
      <ns0:c r="G285" s="8" t="str">
        <ns0:v>/modern-physics/photoelectric-effect</ns0:v>
      </ns0:c>
      <ns0:c r="H285" s="8" t="str">
        <ns0:v>src/pages/PhotoelectricStudioPage.tsx</ns0:v>
      </ns0:c>
      <ns0:c r="I285" s="8" t="str"/>
    </ns0:row>
    <ns0:row r="286" ht="82" customHeight="1">
      <ns0:c r="A286" s="8" t="n">
        <ns0:v>280</ns0:v>
      </ns0:c>
      <ns0:c r="B286" s="8" t="str">
        <ns0:v>Quantum Ideas</ns0:v>
      </ns0:c>
      <ns0:c r="C286" s="8" t="str">
        <ns0:v>Modern Physics</ns0:v>
      </ns0:c>
      <ns0:c r="D286" s="8" t="str">
        <ns0:v>Page</ns0:v>
      </ns0:c>
      <ns0:c r="E286" s="8" t="str">
        <ns0:v>Wave–particle duality, superposition, and measurement.</ns0:v>
      </ns0:c>
      <ns0:c r="F286" s="9" t="str">
        <ns0:f>HYPERLINK("https://physics.aimersociety.com/modern-physics/quantum-ideas","https://physics.aimersociety.com/modern-physics/quantum-ideas")</ns0:f>
        <ns0:v>https://physics.aimersociety.com/modern-physics/quantum-ideas</ns0:v>
      </ns0:c>
      <ns0:c r="G286" s="8" t="str">
        <ns0:v>/modern-physics/quantum-ideas</ns0:v>
      </ns0:c>
      <ns0:c r="H286" s="8" t="str">
        <ns0:v>src/pages/QuantumIdeasStudioPage.tsx</ns0:v>
      </ns0:c>
      <ns0:c r="I286" s="8" t="str"/>
    </ns0:row>
    <ns0:row r="287" ht="82" customHeight="1">
      <ns0:c r="A287" s="8" t="n">
        <ns0:v>281</ns0:v>
      </ns0:c>
      <ns0:c r="B287" s="8" t="str">
        <ns0:v>Radioactivity</ns0:v>
      </ns0:c>
      <ns0:c r="C287" s="8" t="str">
        <ns0:v>Modern Physics</ns0:v>
      </ns0:c>
      <ns0:c r="D287" s="8" t="str">
        <ns0:v>Page</ns0:v>
      </ns0:c>
      <ns0:c r="E287" s="8" t="str">
        <ns0:v>Explore nuclear decay, radiation types, and shielding.</ns0:v>
      </ns0:c>
      <ns0:c r="F287" s="9" t="str">
        <ns0:f>HYPERLINK("https://physics.aimersociety.com/modern-physics/radioactivity","https://physics.aimersociety.com/modern-physics/radioactivity")</ns0:f>
        <ns0:v>https://physics.aimersociety.com/modern-physics/radioactivity</ns0:v>
      </ns0:c>
      <ns0:c r="G287" s="8" t="str">
        <ns0:v>/modern-physics/radioactivity</ns0:v>
      </ns0:c>
      <ns0:c r="H287" s="8" t="str">
        <ns0:v>src/pages/RadioactivityStudioPage.tsx</ns0:v>
      </ns0:c>
      <ns0:c r="I287" s="8" t="str"/>
    </ns0:row>
    <ns0:row r="288" ht="82" customHeight="1">
      <ns0:c r="A288" s="8" t="n">
        <ns0:v>282</ns0:v>
      </ns0:c>
      <ns0:c r="B288" s="8" t="str">
        <ns0:v>All Physics Modules</ns0:v>
      </ns0:c>
      <ns0:c r="C288" s="8" t="str">
        <ns0:v>Modules</ns0:v>
      </ns0:c>
      <ns0:c r="D288" s="8" t="str">
        <ns0:v>Page</ns0:v>
      </ns0:c>
      <ns0:c r="E288" s="8" t="str">
        <ns0:v>Search every major physics area, then open the formula page, visual concept, lab, graph, solver, or classroom tool directly.</ns0:v>
      </ns0:c>
      <ns0:c r="F288" s="9" t="str">
        <ns0:f>HYPERLINK("https://physics.aimersociety.com/modules","https://physics.aimersociety.com/modules")</ns0:f>
        <ns0:v>https://physics.aimersociety.com/modules</ns0:v>
      </ns0:c>
      <ns0:c r="G288" s="8" t="str">
        <ns0:v>/modules</ns0:v>
      </ns0:c>
      <ns0:c r="H288" s="8" t="str">
        <ns0:v>src/pages/PhysicsModulesPage.tsx</ns0:v>
      </ns0:c>
      <ns0:c r="I288" s="8" t="str"/>
    </ns0:row>
    <ns0:row r="289" ht="82" customHeight="1">
      <ns0:c r="A289" s="8" t="n">
        <ns0:v>283</ns0:v>
      </ns0:c>
      <ns0:c r="B289" s="8" t="str">
        <ns0:v>Acceleration – Time</ns0:v>
      </ns0:c>
      <ns0:c r="C289" s="8" t="str">
        <ns0:v>Motion</ns0:v>
      </ns0:c>
      <ns0:c r="D289" s="8" t="str">
        <ns0:v>Page</ns0:v>
      </ns0:c>
      <ns0:c r="E289" s="8" t="str">
        <ns0:v>Apply a controlled acceleration pulse to a cart, measure acceleration, jerk and the resulting change in velocity.</ns0:v>
      </ns0:c>
      <ns0:c r="F289" s="9" t="str">
        <ns0:f>HYPERLINK("https://physics.aimersociety.com/motion/acceleration-time","https://physics.aimersociety.com/motion/acceleration-time")</ns0:f>
        <ns0:v>https://physics.aimersociety.com/motion/acceleration-time</ns0:v>
      </ns0:c>
      <ns0:c r="G289" s="8" t="str">
        <ns0:v>/motion/acceleration-time</ns0:v>
      </ns0:c>
      <ns0:c r="H289" s="8" t="str">
        <ns0:v>src/pages/AccelerationTimePage.tsx</ns0:v>
      </ns0:c>
      <ns0:c r="I289" s="8" t="str"/>
    </ns0:row>
    <ns0:row r="290" ht="82" customHeight="1">
      <ns0:c r="A290" s="8" t="n">
        <ns0:v>284</ns0:v>
      </ns0:c>
      <ns0:c r="B290" s="8" t="str">
        <ns0:v>Conservation Energy</ns0:v>
      </ns0:c>
      <ns0:c r="C290" s="8" t="str">
        <ns0:v>Motion</ns0:v>
      </ns0:c>
      <ns0:c r="D290" s="8" t="str">
        <ns0:v>Page</ns0:v>
      </ns0:c>
      <ns0:c r="E290" s="8" t="str">
        <ns0:v>Energy changes form, but the total is conserved minus losses.</ns0:v>
      </ns0:c>
      <ns0:c r="F290" s="9" t="str">
        <ns0:f>HYPERLINK("https://physics.aimersociety.com/motion/conservation-energy","https://physics.aimersociety.com/motion/conservation-energy")</ns0:f>
        <ns0:v>https://physics.aimersociety.com/motion/conservation-energy</ns0:v>
      </ns0:c>
      <ns0:c r="G290" s="8" t="str">
        <ns0:v>/motion/conservation-energy</ns0:v>
      </ns0:c>
      <ns0:c r="H290" s="8" t="str">
        <ns0:v>src/pages/ConservationEnergyStudioPage.tsx</ns0:v>
      </ns0:c>
      <ns0:c r="I290" s="8" t="str"/>
    </ns0:row>
    <ns0:row r="291" ht="82" customHeight="1">
      <ns0:c r="A291" s="8" t="n">
        <ns0:v>285</ns0:v>
      </ns0:c>
      <ns0:c r="B291" s="8" t="str">
        <ns0:v>Coupled Oscillators</ns0:v>
      </ns0:c>
      <ns0:c r="C291" s="8" t="str">
        <ns0:v>Motion</ns0:v>
      </ns0:c>
      <ns0:c r="D291" s="8" t="str">
        <ns0:v>Page</ns0:v>
      </ns0:c>
      <ns0:c r="E291" s="8" t="str">
        <ns0:v>Explore energy transfer, normal modes, and beats between two pendulums.</ns0:v>
      </ns0:c>
      <ns0:c r="F291" s="9" t="str">
        <ns0:f>HYPERLINK("https://physics.aimersociety.com/motion/coupled-oscillators","https://physics.aimersociety.com/motion/coupled-oscillators")</ns0:f>
        <ns0:v>https://physics.aimersociety.com/motion/coupled-oscillators</ns0:v>
      </ns0:c>
      <ns0:c r="G291" s="8" t="str">
        <ns0:v>/motion/coupled-oscillators</ns0:v>
      </ns0:c>
      <ns0:c r="H291" s="8" t="str">
        <ns0:v>src/pages/CoupledOscillatorsStudioPage.tsx</ns0:v>
      </ns0:c>
      <ns0:c r="I291" s="8" t="str"/>
    </ns0:row>
    <ns0:row r="292" ht="82" customHeight="1">
      <ns0:c r="A292" s="8" t="n">
        <ns0:v>286</ns0:v>
      </ns0:c>
      <ns0:c r="B292" s="8" t="str">
        <ns0:v>Damping</ns0:v>
      </ns0:c>
      <ns0:c r="C292" s="8" t="str">
        <ns0:v>Motion</ns0:v>
      </ns0:c>
      <ns0:c r="D292" s="8" t="str">
        <ns0:v>Page</ns0:v>
      </ns0:c>
      <ns0:c r="E292" s="8" t="str">
        <ns0:v>Explore how a viscous fluid reduces oscillation amplitude over time.</ns0:v>
      </ns0:c>
      <ns0:c r="F292" s="9" t="str">
        <ns0:f>HYPERLINK("https://physics.aimersociety.com/motion/damping","https://physics.aimersociety.com/motion/damping")</ns0:f>
        <ns0:v>https://physics.aimersociety.com/motion/damping</ns0:v>
      </ns0:c>
      <ns0:c r="G292" s="8" t="str">
        <ns0:v>/motion/damping</ns0:v>
      </ns0:c>
      <ns0:c r="H292" s="8" t="str">
        <ns0:v>src/pages/DampingStudioPage.tsx</ns0:v>
      </ns0:c>
      <ns0:c r="I292" s="8" t="str"/>
    </ns0:row>
    <ns0:row r="293" ht="82" customHeight="1">
      <ns0:c r="A293" s="8" t="n">
        <ns0:v>287</ns0:v>
      </ns0:c>
      <ns0:c r="B293" s="8" t="str">
        <ns0:v>Doppler Effect</ns0:v>
      </ns0:c>
      <ns0:c r="C293" s="8" t="str">
        <ns0:v>Motion</ns0:v>
      </ns0:c>
      <ns0:c r="D293" s="8" t="str">
        <ns0:v>Page</ns0:v>
      </ns0:c>
      <ns0:c r="E293" s="8" t="str">
        <ns0:v>Explore how motion changes the observed frequency of a wave.</ns0:v>
      </ns0:c>
      <ns0:c r="F293" s="9" t="str">
        <ns0:f>HYPERLINK("https://physics.aimersociety.com/motion/doppler-effect","https://physics.aimersociety.com/motion/doppler-effect")</ns0:f>
        <ns0:v>https://physics.aimersociety.com/motion/doppler-effect</ns0:v>
      </ns0:c>
      <ns0:c r="G293" s="8" t="str">
        <ns0:v>/motion/doppler-effect</ns0:v>
      </ns0:c>
      <ns0:c r="H293" s="8" t="str">
        <ns0:v>src/pages/DopplerEffectStudioPage.tsx</ns0:v>
      </ns0:c>
      <ns0:c r="I293" s="8" t="str"/>
    </ns0:row>
    <ns0:row r="294" ht="82" customHeight="1">
      <ns0:c r="A294" s="8" t="n">
        <ns0:v>288</ns0:v>
      </ns0:c>
      <ns0:c r="B294" s="8" t="str">
        <ns0:v>Efficiency</ns0:v>
      </ns0:c>
      <ns0:c r="C294" s="8" t="str">
        <ns0:v>Motion</ns0:v>
      </ns0:c>
      <ns0:c r="D294" s="8" t="str">
        <ns0:v>Page</ns0:v>
      </ns0:c>
      <ns0:c r="E294" s="8" t="str">
        <ns0:v>Turn energy into useful output while tracking losses.</ns0:v>
      </ns0:c>
      <ns0:c r="F294" s="9" t="str">
        <ns0:f>HYPERLINK("https://physics.aimersociety.com/motion/efficiency","https://physics.aimersociety.com/motion/efficiency")</ns0:f>
        <ns0:v>https://physics.aimersociety.com/motion/efficiency</ns0:v>
      </ns0:c>
      <ns0:c r="G294" s="8" t="str">
        <ns0:v>/motion/efficiency</ns0:v>
      </ns0:c>
      <ns0:c r="H294" s="8" t="str">
        <ns0:v>src/pages/EfficiencyStudioPage.tsx</ns0:v>
      </ns0:c>
      <ns0:c r="I294" s="8" t="str"/>
    </ns0:row>
    <ns0:row r="295" ht="82" customHeight="1">
      <ns0:c r="A295" s="8" t="n">
        <ns0:v>289</ns0:v>
      </ns0:c>
      <ns0:c r="B295" s="8" t="str">
        <ns0:v>Energy Exchange</ns0:v>
      </ns0:c>
      <ns0:c r="C295" s="8" t="str">
        <ns0:v>Motion</ns0:v>
      </ns0:c>
      <ns0:c r="D295" s="8" t="str">
        <ns0:v>Page</ns0:v>
      </ns0:c>
      <ns0:c r="E295" s="8" t="str">
        <ns0:v>Track kinetic and elastic potential energy as a mass oscillates.</ns0:v>
      </ns0:c>
      <ns0:c r="F295" s="9" t="str">
        <ns0:f>HYPERLINK("https://physics.aimersociety.com/motion/energy-exchange","https://physics.aimersociety.com/motion/energy-exchange")</ns0:f>
        <ns0:v>https://physics.aimersociety.com/motion/energy-exchange</ns0:v>
      </ns0:c>
      <ns0:c r="G295" s="8" t="str">
        <ns0:v>/motion/energy-exchange</ns0:v>
      </ns0:c>
      <ns0:c r="H295" s="8" t="str">
        <ns0:v>src/pages/EnergyExchangeStudioPage.tsx</ns0:v>
      </ns0:c>
      <ns0:c r="I295" s="8" t="str"/>
    </ns0:row>
    <ns0:row r="296" ht="82" customHeight="1">
      <ns0:c r="A296" s="8" t="n">
        <ns0:v>290</ns0:v>
      </ns0:c>
      <ns0:c r="B296" s="8" t="str">
        <ns0:v>Escape Velocity</ns0:v>
      </ns0:c>
      <ns0:c r="C296" s="8" t="str">
        <ns0:v>Motion</ns0:v>
      </ns0:c>
      <ns0:c r="D296" s="8" t="str">
        <ns0:v>Page</ns0:v>
      </ns0:c>
      <ns0:c r="E296" s="8" t="str">
        <ns0:v>Explore how launch speed, planet mass, and radius determine escape.</ns0:v>
      </ns0:c>
      <ns0:c r="F296" s="9" t="str">
        <ns0:f>HYPERLINK("https://physics.aimersociety.com/motion/escape-velocity","https://physics.aimersociety.com/motion/escape-velocity")</ns0:f>
        <ns0:v>https://physics.aimersociety.com/motion/escape-velocity</ns0:v>
      </ns0:c>
      <ns0:c r="G296" s="8" t="str">
        <ns0:v>/motion/escape-velocity</ns0:v>
      </ns0:c>
      <ns0:c r="H296" s="8" t="str">
        <ns0:v>src/pages/EscapeVelocityStudioPage.tsx</ns0:v>
      </ns0:c>
      <ns0:c r="I296" s="8" t="str"/>
    </ns0:row>
    <ns0:row r="297" ht="82" customHeight="1">
      <ns0:c r="A297" s="8" t="n">
        <ns0:v>291</ns0:v>
      </ns0:c>
      <ns0:c r="B297" s="8" t="str">
        <ns0:v>First Law Inertia</ns0:v>
      </ns0:c>
      <ns0:c r="C297" s="8" t="str">
        <ns0:v>Motion</ns0:v>
      </ns0:c>
      <ns0:c r="D297" s="8" t="str">
        <ns0:v>Page</ns0:v>
      </ns0:c>
      <ns0:c r="E297" s="8" t="str">
        <ns0:v>The cart stops, but the object continues in motion.</ns0:v>
      </ns0:c>
      <ns0:c r="F297" s="9" t="str">
        <ns0:f>HYPERLINK("https://physics.aimersociety.com/motion/first-law-inertia","https://physics.aimersociety.com/motion/first-law-inertia")</ns0:f>
        <ns0:v>https://physics.aimersociety.com/motion/first-law-inertia</ns0:v>
      </ns0:c>
      <ns0:c r="G297" s="8" t="str">
        <ns0:v>/motion/first-law-inertia</ns0:v>
      </ns0:c>
      <ns0:c r="H297" s="8" t="str">
        <ns0:v>src/pages/InertiaStudioPage.tsx</ns0:v>
      </ns0:c>
      <ns0:c r="I297" s="8" t="str"/>
    </ns0:row>
    <ns0:row r="298" ht="82" customHeight="1">
      <ns0:c r="A298" s="8" t="n">
        <ns0:v>292</ns0:v>
      </ns0:c>
      <ns0:c r="B298" s="8" t="str">
        <ns0:v>Friction</ns0:v>
      </ns0:c>
      <ns0:c r="C298" s="8" t="str">
        <ns0:v>Motion</ns0:v>
      </ns0:c>
      <ns0:c r="D298" s="8" t="str">
        <ns0:v>Page</ns0:v>
      </ns0:c>
      <ns0:c r="E298" s="8" t="str">
        <ns0:v>Explore how surface texture and normal force affect static and kinetic friction.</ns0:v>
      </ns0:c>
      <ns0:c r="F298" s="9" t="str">
        <ns0:f>HYPERLINK("https://physics.aimersociety.com/motion/friction","https://physics.aimersociety.com/motion/friction")</ns0:f>
        <ns0:v>https://physics.aimersociety.com/motion/friction</ns0:v>
      </ns0:c>
      <ns0:c r="G298" s="8" t="str">
        <ns0:v>/motion/friction</ns0:v>
      </ns0:c>
      <ns0:c r="H298" s="8" t="str">
        <ns0:v>src/pages/FrictionStudioPage.tsx</ns0:v>
      </ns0:c>
      <ns0:c r="I298" s="8" t="str"/>
    </ns0:row>
    <ns0:row r="299" ht="82" customHeight="1">
      <ns0:c r="A299" s="8" t="n">
        <ns0:v>293</ns0:v>
      </ns0:c>
      <ns0:c r="B299" s="8" t="str">
        <ns0:v>Gravitational Field</ns0:v>
      </ns0:c>
      <ns0:c r="C299" s="8" t="str">
        <ns0:v>Motion</ns0:v>
      </ns0:c>
      <ns0:c r="D299" s="8" t="str">
        <ns0:v>Page</ns0:v>
      </ns0:c>
      <ns0:c r="E299" s="8" t="str">
        <ns0:v>Explore the gravitational field around a massive body.</ns0:v>
      </ns0:c>
      <ns0:c r="F299" s="9" t="str">
        <ns0:f>HYPERLINK("https://physics.aimersociety.com/motion/gravitational-field","https://physics.aimersociety.com/motion/gravitational-field")</ns0:f>
        <ns0:v>https://physics.aimersociety.com/motion/gravitational-field</ns0:v>
      </ns0:c>
      <ns0:c r="G299" s="8" t="str">
        <ns0:v>/motion/gravitational-field</ns0:v>
      </ns0:c>
      <ns0:c r="H299" s="8" t="str">
        <ns0:v>src/pages/GravitationalFieldStudioPage.tsx</ns0:v>
      </ns0:c>
      <ns0:c r="I299" s="8" t="str"/>
    </ns0:row>
    <ns0:row r="300" ht="82" customHeight="1">
      <ns0:c r="A300" s="8" t="n">
        <ns0:v>294</ns0:v>
      </ns0:c>
      <ns0:c r="B300" s="8" t="str">
        <ns0:v>Gravitational Potential</ns0:v>
      </ns0:c>
      <ns0:c r="C300" s="8" t="str">
        <ns0:v>Motion</ns0:v>
      </ns0:c>
      <ns0:c r="D300" s="8" t="str">
        <ns0:v>Page</ns0:v>
      </ns0:c>
      <ns0:c r="E300" s="8" t="str">
        <ns0:v>Explore the gravitational potential field of a planet–moon system.</ns0:v>
      </ns0:c>
      <ns0:c r="F300" s="9" t="str">
        <ns0:f>HYPERLINK("https://physics.aimersociety.com/motion/gravitational-potential","https://physics.aimersociety.com/motion/gravitational-potential")</ns0:f>
        <ns0:v>https://physics.aimersociety.com/motion/gravitational-potential</ns0:v>
      </ns0:c>
      <ns0:c r="G300" s="8" t="str">
        <ns0:v>/motion/gravitational-potential</ns0:v>
      </ns0:c>
      <ns0:c r="H300" s="8" t="str">
        <ns0:v>src/pages/GravitationalPotentialStudioPage.tsx</ns0:v>
      </ns0:c>
      <ns0:c r="I300" s="8" t="str"/>
    </ns0:row>
    <ns0:row r="301" ht="82" customHeight="1">
      <ns0:c r="A301" s="8" t="n">
        <ns0:v>295</ns0:v>
      </ns0:c>
      <ns0:c r="B301" s="8" t="str">
        <ns0:v>Interference</ns0:v>
      </ns0:c>
      <ns0:c r="C301" s="8" t="str">
        <ns0:v>Motion</ns0:v>
      </ns0:c>
      <ns0:c r="D301" s="8" t="str">
        <ns0:v>Page</ns0:v>
      </ns0:c>
      <ns0:c r="E301" s="8" t="str">
        <ns0:v>Two coherent sources create an interference pattern. Move the detector to explore intensity.</ns0:v>
      </ns0:c>
      <ns0:c r="F301" s="9" t="str">
        <ns0:f>HYPERLINK("https://physics.aimersociety.com/motion/interference","https://physics.aimersociety.com/motion/interference")</ns0:f>
        <ns0:v>https://physics.aimersociety.com/motion/interference</ns0:v>
      </ns0:c>
      <ns0:c r="G301" s="8" t="str">
        <ns0:v>/motion/interference</ns0:v>
      </ns0:c>
      <ns0:c r="H301" s="8" t="str">
        <ns0:v>src/pages/InterferenceStudioPage.tsx</ns0:v>
      </ns0:c>
      <ns0:c r="I301" s="8" t="str"/>
    </ns0:row>
    <ns0:row r="302" ht="82" customHeight="1">
      <ns0:c r="A302" s="8" t="n">
        <ns0:v>296</ns0:v>
      </ns0:c>
      <ns0:c r="B302" s="8" t="str">
        <ns0:v>Keplers Laws</ns0:v>
      </ns0:c>
      <ns0:c r="C302" s="8" t="str">
        <ns0:v>Motion</ns0:v>
      </ns0:c>
      <ns0:c r="D302" s="8" t="str">
        <ns0:v>Page</ns0:v>
      </ns0:c>
      <ns0:c r="E302" s="8" t="str">
        <ns0:v>Explore planetary motion, equal-area sectors, and the relation T² ∝ a³.</ns0:v>
      </ns0:c>
      <ns0:c r="F302" s="9" t="str">
        <ns0:f>HYPERLINK("https://physics.aimersociety.com/motion/keplers-laws","https://physics.aimersociety.com/motion/keplers-laws")</ns0:f>
        <ns0:v>https://physics.aimersociety.com/motion/keplers-laws</ns0:v>
      </ns0:c>
      <ns0:c r="G302" s="8" t="str">
        <ns0:v>/motion/keplers-laws</ns0:v>
      </ns0:c>
      <ns0:c r="H302" s="8" t="str">
        <ns0:v>src/pages/KeplersLawsStudioPage.tsx</ns0:v>
      </ns0:c>
      <ns0:c r="I302" s="8" t="str"/>
    </ns0:row>
    <ns0:row r="303" ht="82" customHeight="1">
      <ns0:c r="A303" s="8" t="n">
        <ns0:v>297</ns0:v>
      </ns0:c>
      <ns0:c r="B303" s="8" t="str">
        <ns0:v>Kinetic Energy</ns0:v>
      </ns0:c>
      <ns0:c r="C303" s="8" t="str">
        <ns0:v>Motion</ns0:v>
      </ns0:c>
      <ns0:c r="D303" s="8" t="str">
        <ns0:v>Page</ns0:v>
      </ns0:c>
      <ns0:c r="E303" s="8" t="str">
        <ns0:v>Explore how mass and speed affect kinetic energy.</ns0:v>
      </ns0:c>
      <ns0:c r="F303" s="9" t="str">
        <ns0:f>HYPERLINK("https://physics.aimersociety.com/motion/kinetic-energy","https://physics.aimersociety.com/motion/kinetic-energy")</ns0:f>
        <ns0:v>https://physics.aimersociety.com/motion/kinetic-energy</ns0:v>
      </ns0:c>
      <ns0:c r="G303" s="8" t="str">
        <ns0:v>/motion/kinetic-energy</ns0:v>
      </ns0:c>
      <ns0:c r="H303" s="8" t="str">
        <ns0:v>src/pages/KineticEnergyStudioPage.tsx</ns0:v>
      </ns0:c>
      <ns0:c r="I303" s="8" t="str"/>
    </ns0:row>
    <ns0:row r="304" ht="82" customHeight="1">
      <ns0:c r="A304" s="8" t="n">
        <ns0:v>298</ns0:v>
      </ns0:c>
      <ns0:c r="B304" s="8" t="str">
        <ns0:v>MOTION &amp;amp; KINEMATICS</ns0:v>
      </ns0:c>
      <ns0:c r="C304" s="8" t="str">
        <ns0:v>Motion</ns0:v>
      </ns0:c>
      <ns0:c r="D304" s="8" t="str">
        <ns0:v>Page</ns0:v>
      </ns0:c>
      <ns0:c r="E304" s="8" t="str">
        <ns0:v>At fixed radius, doubling angular velocity changes centripetal acceleration by what factor?</ns0:v>
      </ns0:c>
      <ns0:c r="F304" s="9" t="str">
        <ns0:f>HYPERLINK("https://physics.aimersociety.com/motion/circular-motion","https://physics.aimersociety.com/motion/circular-motion")</ns0:f>
        <ns0:v>https://physics.aimersociety.com/motion/circular-motion</ns0:v>
      </ns0:c>
      <ns0:c r="G304" s="8" t="str">
        <ns0:v>/motion/circular-motion</ns0:v>
      </ns0:c>
      <ns0:c r="H304" s="8" t="str">
        <ns0:v>src/pages/CircularStudioPage.tsx</ns0:v>
      </ns0:c>
      <ns0:c r="I304" s="8" t="str"/>
    </ns0:row>
    <ns0:row r="305" ht="82" customHeight="1">
      <ns0:c r="A305" s="8" t="n">
        <ns0:v>299</ns0:v>
      </ns0:c>
      <ns0:c r="B305" s="8" t="str">
        <ns0:v>Multi Force Challenge</ns0:v>
      </ns0:c>
      <ns0:c r="C305" s="8" t="str">
        <ns0:v>Motion</ns0:v>
      </ns0:c>
      <ns0:c r="D305" s="8" t="str">
        <ns0:v>Page</ns0:v>
      </ns0:c>
      <ns0:c r="E305" s="8" t="str">
        <ns0:v>Rescue the sled — balance multiple forces to reach the target acceleration.</ns0:v>
      </ns0:c>
      <ns0:c r="F305" s="9" t="str">
        <ns0:f>HYPERLINK("https://physics.aimersociety.com/motion/multi-force-challenge","https://physics.aimersociety.com/motion/multi-force-challenge")</ns0:f>
        <ns0:v>https://physics.aimersociety.com/motion/multi-force-challenge</ns0:v>
      </ns0:c>
      <ns0:c r="G305" s="8" t="str">
        <ns0:v>/motion/multi-force-challenge</ns0:v>
      </ns0:c>
      <ns0:c r="H305" s="8" t="str">
        <ns0:v>src/pages/MultiForceStudioPage.tsx</ns0:v>
      </ns0:c>
      <ns0:c r="I305" s="8" t="str"/>
    </ns0:row>
    <ns0:row r="306" ht="82" customHeight="1">
      <ns0:c r="A306" s="8" t="n">
        <ns0:v>300</ns0:v>
      </ns0:c>
      <ns0:c r="B306" s="8" t="str">
        <ns0:v>Orbits</ns0:v>
      </ns0:c>
      <ns0:c r="C306" s="8" t="str">
        <ns0:v>Motion</ns0:v>
      </ns0:c>
      <ns0:c r="D306" s="8" t="str">
        <ns0:v>Page</ns0:v>
      </ns0:c>
      <ns0:c r="E306" s="8" t="str">
        <ns0:v>Explore real orbits. Change conditions and see the physics.</ns0:v>
      </ns0:c>
      <ns0:c r="F306" s="9" t="str">
        <ns0:f>HYPERLINK("https://physics.aimersociety.com/motion/orbits","https://physics.aimersociety.com/motion/orbits")</ns0:f>
        <ns0:v>https://physics.aimersociety.com/motion/orbits</ns0:v>
      </ns0:c>
      <ns0:c r="G306" s="8" t="str">
        <ns0:v>/motion/orbits</ns0:v>
      </ns0:c>
      <ns0:c r="H306" s="8" t="str">
        <ns0:v>src/pages/OrbitsStudioPage.tsx</ns0:v>
      </ns0:c>
      <ns0:c r="I306" s="8" t="str"/>
    </ns0:row>
    <ns0:row r="307" ht="82" customHeight="1">
      <ns0:c r="A307" s="8" t="n">
        <ns0:v>301</ns0:v>
      </ns0:c>
      <ns0:c r="B307" s="8" t="str">
        <ns0:v>Pendulum</ns0:v>
      </ns0:c>
      <ns0:c r="C307" s="8" t="str">
        <ns0:v>Motion</ns0:v>
      </ns0:c>
      <ns0:c r="D307" s="8" t="str">
        <ns0:v>Page</ns0:v>
      </ns0:c>
      <ns0:c r="E307" s="8" t="str">
        <ns0:v>Measure period and explore dependence on length and gravity.</ns0:v>
      </ns0:c>
      <ns0:c r="F307" s="9" t="str">
        <ns0:f>HYPERLINK("https://physics.aimersociety.com/motion/pendulum","https://physics.aimersociety.com/motion/pendulum")</ns0:f>
        <ns0:v>https://physics.aimersociety.com/motion/pendulum</ns0:v>
      </ns0:c>
      <ns0:c r="G307" s="8" t="str">
        <ns0:v>/motion/pendulum</ns0:v>
      </ns0:c>
      <ns0:c r="H307" s="8" t="str">
        <ns0:v>src/pages/PendulumStudioPage.tsx</ns0:v>
      </ns0:c>
      <ns0:c r="I307" s="8" t="str"/>
    </ns0:row>
    <ns0:row r="308" ht="82" customHeight="1">
      <ns0:c r="A308" s="8" t="n">
        <ns0:v>302</ns0:v>
      </ns0:c>
      <ns0:c r="B308" s="8" t="str">
        <ns0:v>Position – Time</ns0:v>
      </ns0:c>
      <ns0:c r="C308" s="8" t="str">
        <ns0:v>Motion</ns0:v>
      </ns0:c>
      <ns0:c r="D308" s="8" t="str">
        <ns0:v>Page</ns0:v>
      </ns0:c>
      <ns0:c r="E308" s="8" t="str">
        <ns0:v>EXPLORE · SIMULATE · UNDERSTAND</ns0:v>
      </ns0:c>
      <ns0:c r="F308" s="9" t="str">
        <ns0:f>HYPERLINK("https://physics.aimersociety.com/motion/position-time","https://physics.aimersociety.com/motion/position-time")</ns0:f>
        <ns0:v>https://physics.aimersociety.com/motion/position-time</ns0:v>
      </ns0:c>
      <ns0:c r="G308" s="8" t="str">
        <ns0:v>/motion/position-time</ns0:v>
      </ns0:c>
      <ns0:c r="H308" s="8" t="str">
        <ns0:v>src/pages/PositionTimePage.tsx</ns0:v>
      </ns0:c>
      <ns0:c r="I308" s="8" t="str"/>
    </ns0:row>
    <ns0:row r="309" ht="82" customHeight="1">
      <ns0:c r="A309" s="8" t="n">
        <ns0:v>303</ns0:v>
      </ns0:c>
      <ns0:c r="B309" s="8" t="str">
        <ns0:v>Potential Energy</ns0:v>
      </ns0:c>
      <ns0:c r="C309" s="8" t="str">
        <ns0:v>Motion</ns0:v>
      </ns0:c>
      <ns0:c r="D309" s="8" t="str">
        <ns0:v>Page</ns0:v>
      </ns0:c>
      <ns0:c r="E309" s="8" t="str">
        <ns0:v>Lift a mass and store gravitational potential energy.</ns0:v>
      </ns0:c>
      <ns0:c r="F309" s="9" t="str">
        <ns0:f>HYPERLINK("https://physics.aimersociety.com/motion/potential-energy","https://physics.aimersociety.com/motion/potential-energy")</ns0:f>
        <ns0:v>https://physics.aimersociety.com/motion/potential-energy</ns0:v>
      </ns0:c>
      <ns0:c r="G309" s="8" t="str">
        <ns0:v>/motion/potential-energy</ns0:v>
      </ns0:c>
      <ns0:c r="H309" s="8" t="str">
        <ns0:v>src/pages/PotentialEnergyStudioPage.tsx</ns0:v>
      </ns0:c>
      <ns0:c r="I309" s="8" t="str"/>
    </ns0:row>
    <ns0:row r="310" ht="82" customHeight="1">
      <ns0:c r="A310" s="8" t="n">
        <ns0:v>304</ns0:v>
      </ns0:c>
      <ns0:c r="B310" s="8" t="str">
        <ns0:v>Power</ns0:v>
      </ns0:c>
      <ns0:c r="C310" s="8" t="str">
        <ns0:v>Motion</ns0:v>
      </ns0:c>
      <ns0:c r="D310" s="8" t="str">
        <ns0:v>Page</ns0:v>
      </ns0:c>
      <ns0:c r="E310" s="8" t="str">
        <ns0:v>Power measures how quickly work is performed. Increasing speed or load changes the required rate.</ns0:v>
      </ns0:c>
      <ns0:c r="F310" s="9" t="str">
        <ns0:f>HYPERLINK("https://physics.aimersociety.com/motion/power","https://physics.aimersociety.com/motion/power")</ns0:f>
        <ns0:v>https://physics.aimersociety.com/motion/power</ns0:v>
      </ns0:c>
      <ns0:c r="G310" s="8" t="str">
        <ns0:v>/motion/power</ns0:v>
      </ns0:c>
      <ns0:c r="H310" s="8" t="str">
        <ns0:v>src/pages/PowerStudioPage.tsx</ns0:v>
      </ns0:c>
      <ns0:c r="I310" s="8" t="str"/>
    </ns0:row>
    <ns0:row r="311" ht="82" customHeight="1">
      <ns0:c r="A311" s="8" t="n">
        <ns0:v>305</ns0:v>
      </ns0:c>
      <ns0:c r="B311" s="8" t="str">
        <ns0:v>Projectile Motion</ns0:v>
      </ns0:c>
      <ns0:c r="C311" s="8" t="str">
        <ns0:v>Motion</ns0:v>
      </ns0:c>
      <ns0:c r="D311" s="8" t="str">
        <ns0:v>Page</ns0:v>
      </ns0:c>
      <ns0:c r="E311" s="8" t="str">
        <ns0:v>Explore how launch speed, angle and gravity affect a projectile’s trajectory.</ns0:v>
      </ns0:c>
      <ns0:c r="F311" s="9" t="str">
        <ns0:f>HYPERLINK("https://physics.aimersociety.com/motion/projectile-motion","https://physics.aimersociety.com/motion/projectile-motion")</ns0:f>
        <ns0:v>https://physics.aimersociety.com/motion/projectile-motion</ns0:v>
      </ns0:c>
      <ns0:c r="G311" s="8" t="str">
        <ns0:v>/motion/projectile-motion</ns0:v>
      </ns0:c>
      <ns0:c r="H311" s="8" t="str">
        <ns0:v>src/pages/ProjectileStudioPage.tsx</ns0:v>
      </ns0:c>
      <ns0:c r="I311" s="8" t="str"/>
    </ns0:row>
    <ns0:row r="312" ht="82" customHeight="1">
      <ns0:c r="A312" s="8" t="n">
        <ns0:v>306</ns0:v>
      </ns0:c>
      <ns0:c r="B312" s="8" t="str">
        <ns0:v>Relative Motion</ns0:v>
      </ns0:c>
      <ns0:c r="C312" s="8" t="str">
        <ns0:v>Motion</ns0:v>
      </ns0:c>
      <ns0:c r="D312" s="8" t="str">
        <ns0:v>Page</ns0:v>
      </ns0:c>
      <ns0:c r="E312" s="8" t="str">
        <ns0:v>Different frames. Same physics.</ns0:v>
      </ns0:c>
      <ns0:c r="F312" s="9" t="str">
        <ns0:f>HYPERLINK("https://physics.aimersociety.com/motion/relative-motion","https://physics.aimersociety.com/motion/relative-motion")</ns0:f>
        <ns0:v>https://physics.aimersociety.com/motion/relative-motion</ns0:v>
      </ns0:c>
      <ns0:c r="G312" s="8" t="str">
        <ns0:v>/motion/relative-motion</ns0:v>
      </ns0:c>
      <ns0:c r="H312" s="8" t="str">
        <ns0:v>src/pages/RelativeMotionPage.tsx</ns0:v>
      </ns0:c>
      <ns0:c r="I312" s="8" t="str"/>
    </ns0:row>
    <ns0:row r="313" ht="82" customHeight="1">
      <ns0:c r="A313" s="8" t="n">
        <ns0:v>307</ns0:v>
      </ns0:c>
      <ns0:c r="B313" s="8" t="str">
        <ns0:v>Resonance</ns0:v>
      </ns0:c>
      <ns0:c r="C313" s="8" t="str">
        <ns0:v>Motion</ns0:v>
      </ns0:c>
      <ns0:c r="D313" s="8" t="str">
        <ns0:v>Page</ns0:v>
      </ns0:c>
      <ns0:c r="E313" s="8" t="str">
        <ns0:v>Explore how steady-state amplitude and phase depend on drive frequency.</ns0:v>
      </ns0:c>
      <ns0:c r="F313" s="9" t="str">
        <ns0:f>HYPERLINK("https://physics.aimersociety.com/motion/resonance","https://physics.aimersociety.com/motion/resonance")</ns0:f>
        <ns0:v>https://physics.aimersociety.com/motion/resonance</ns0:v>
      </ns0:c>
      <ns0:c r="G313" s="8" t="str">
        <ns0:v>/motion/resonance</ns0:v>
      </ns0:c>
      <ns0:c r="H313" s="8" t="str">
        <ns0:v>src/pages/ResonanceStudioPage.tsx</ns0:v>
      </ns0:c>
      <ns0:c r="I313" s="8" t="str"/>
    </ns0:row>
    <ns0:row r="314" ht="82" customHeight="1">
      <ns0:c r="A314" s="8" t="n">
        <ns0:v>308</ns0:v>
      </ns0:c>
      <ns0:c r="B314" s="8" t="str">
        <ns0:v>Second Law Fma</ns0:v>
      </ns0:c>
      <ns0:c r="C314" s="8" t="str">
        <ns0:v>Motion</ns0:v>
      </ns0:c>
      <ns0:c r="D314" s="8" t="str">
        <ns0:v>Page</ns0:v>
      </ns0:c>
      <ns0:c r="E314" s="8" t="str">
        <ns0:v>Explore how a net force causes acceleration, and how mass and friction affect the motion of an object.</ns0:v>
      </ns0:c>
      <ns0:c r="F314" s="9" t="str">
        <ns0:f>HYPERLINK("https://physics.aimersociety.com/motion/second-law-fma","https://physics.aimersociety.com/motion/second-law-fma")</ns0:f>
        <ns0:v>https://physics.aimersociety.com/motion/second-law-fma</ns0:v>
      </ns0:c>
      <ns0:c r="G314" s="8" t="str">
        <ns0:v>/motion/second-law-fma</ns0:v>
      </ns0:c>
      <ns0:c r="H314" s="8" t="str">
        <ns0:v>src/pages/SecondLawStudioPage.tsx</ns0:v>
      </ns0:c>
      <ns0:c r="I314" s="8" t="str"/>
    </ns0:row>
    <ns0:row r="315" ht="82" customHeight="1">
      <ns0:c r="A315" s="8" t="n">
        <ns0:v>309</ns0:v>
      </ns0:c>
      <ns0:c r="B315" s="8" t="str">
        <ns0:v>Sound Spectrum</ns0:v>
      </ns0:c>
      <ns0:c r="C315" s="8" t="str">
        <ns0:v>Motion</ns0:v>
      </ns0:c>
      <ns0:c r="D315" s="8" t="str">
        <ns0:v>Page</ns0:v>
      </ns0:c>
      <ns0:c r="E315" s="8" t="str">
        <ns0:v>Explore the time waveform, harmonics, and frequency spectrum of sound.</ns0:v>
      </ns0:c>
      <ns0:c r="F315" s="9" t="str">
        <ns0:f>HYPERLINK("https://physics.aimersociety.com/motion/sound-spectrum","https://physics.aimersociety.com/motion/sound-spectrum")</ns0:f>
        <ns0:v>https://physics.aimersociety.com/motion/sound-spectrum</ns0:v>
      </ns0:c>
      <ns0:c r="G315" s="8" t="str">
        <ns0:v>/motion/sound-spectrum</ns0:v>
      </ns0:c>
      <ns0:c r="H315" s="8" t="str">
        <ns0:v>src/pages/SoundSpectrumStudioPage.tsx</ns0:v>
      </ns0:c>
      <ns0:c r="I315" s="8" t="str"/>
    </ns0:row>
    <ns0:row r="316" ht="82" customHeight="1">
      <ns0:c r="A316" s="8" t="n">
        <ns0:v>310</ns0:v>
      </ns0:c>
      <ns0:c r="B316" s="8" t="str">
        <ns0:v>Spring Shm</ns0:v>
      </ns0:c>
      <ns0:c r="C316" s="8" t="str">
        <ns0:v>Motion</ns0:v>
      </ns0:c>
      <ns0:c r="D316" s="8" t="str">
        <ns0:v>Page</ns0:v>
      </ns0:c>
      <ns0:c r="E316" s="8" t="str">
        <ns0:v>Model a vertical mass–spring system and explore simple harmonic motion.</ns0:v>
      </ns0:c>
      <ns0:c r="F316" s="9" t="str">
        <ns0:f>HYPERLINK("https://physics.aimersociety.com/motion/spring-shm","https://physics.aimersociety.com/motion/spring-shm")</ns0:f>
        <ns0:v>https://physics.aimersociety.com/motion/spring-shm</ns0:v>
      </ns0:c>
      <ns0:c r="G316" s="8" t="str">
        <ns0:v>/motion/spring-shm</ns0:v>
      </ns0:c>
      <ns0:c r="H316" s="8" t="str">
        <ns0:v>src/pages/SpringShmStudioPage.tsx</ns0:v>
      </ns0:c>
      <ns0:c r="I316" s="8" t="str"/>
    </ns0:row>
    <ns0:row r="317" ht="82" customHeight="1">
      <ns0:c r="A317" s="8" t="n">
        <ns0:v>311</ns0:v>
      </ns0:c>
      <ns0:c r="B317" s="8" t="str">
        <ns0:v>Standing Waves</ns0:v>
      </ns0:c>
      <ns0:c r="C317" s="8" t="str">
        <ns0:v>Motion</ns0:v>
      </ns0:c>
      <ns0:c r="D317" s="8" t="str">
        <ns0:v>Page</ns0:v>
      </ns0:c>
      <ns0:c r="E317" s="8" t="str">
        <ns0:v>Explore nodes, antinodes, and harmonics on a driven string.</ns0:v>
      </ns0:c>
      <ns0:c r="F317" s="9" t="str">
        <ns0:f>HYPERLINK("https://physics.aimersociety.com/motion/standing-waves","https://physics.aimersociety.com/motion/standing-waves")</ns0:f>
        <ns0:v>https://physics.aimersociety.com/motion/standing-waves</ns0:v>
      </ns0:c>
      <ns0:c r="G317" s="8" t="str">
        <ns0:v>/motion/standing-waves</ns0:v>
      </ns0:c>
      <ns0:c r="H317" s="8" t="str">
        <ns0:v>src/pages/StandingWavesStudioPage.tsx</ns0:v>
      </ns0:c>
      <ns0:c r="I317" s="8" t="str"/>
    </ns0:row>
    <ns0:row r="318" ht="82" customHeight="1">
      <ns0:c r="A318" s="8" t="n">
        <ns0:v>312</ns0:v>
      </ns0:c>
      <ns0:c r="B318" s="8" t="str">
        <ns0:v>Superposition</ns0:v>
      </ns0:c>
      <ns0:c r="C318" s="8" t="str">
        <ns0:v>Motion</ns0:v>
      </ns0:c>
      <ns0:c r="D318" s="8" t="str">
        <ns0:v>Page</ns0:v>
      </ns0:c>
      <ns0:c r="E318" s="8" t="str">
        <ns0:v>Combine two coherent waves and observe constructive and destructive interference.</ns0:v>
      </ns0:c>
      <ns0:c r="F318" s="9" t="str">
        <ns0:f>HYPERLINK("https://physics.aimersociety.com/motion/superposition","https://physics.aimersociety.com/motion/superposition")</ns0:f>
        <ns0:v>https://physics.aimersociety.com/motion/superposition</ns0:v>
      </ns0:c>
      <ns0:c r="G318" s="8" t="str">
        <ns0:v>/motion/superposition</ns0:v>
      </ns0:c>
      <ns0:c r="H318" s="8" t="str">
        <ns0:v>src/pages/SuperpositionStudioPage.tsx</ns0:v>
      </ns0:c>
      <ns0:c r="I318" s="8" t="str"/>
    </ns0:row>
    <ns0:row r="319" ht="82" customHeight="1">
      <ns0:c r="A319" s="8" t="n">
        <ns0:v>313</ns0:v>
      </ns0:c>
      <ns0:c r="B319" s="8" t="str">
        <ns0:v>Tension Normal</ns0:v>
      </ns0:c>
      <ns0:c r="C319" s="8" t="str">
        <ns0:v>Motion</ns0:v>
      </ns0:c>
      <ns0:c r="D319" s="8" t="str">
        <ns0:v>Page</ns0:v>
      </ns0:c>
      <ns0:c r="E319" s="8" t="str">
        <ns0:v>Adjust the cable angles and load mass. Observe the tensions in the cables and normal force from the scale.</ns0:v>
      </ns0:c>
      <ns0:c r="F319" s="9" t="str">
        <ns0:f>HYPERLINK("https://physics.aimersociety.com/motion/tension-normal","https://physics.aimersociety.com/motion/tension-normal")</ns0:f>
        <ns0:v>https://physics.aimersociety.com/motion/tension-normal</ns0:v>
      </ns0:c>
      <ns0:c r="G319" s="8" t="str">
        <ns0:v>/motion/tension-normal</ns0:v>
      </ns0:c>
      <ns0:c r="H319" s="8" t="str">
        <ns0:v>src/pages/TensionNormalStudioPage.tsx</ns0:v>
      </ns0:c>
      <ns0:c r="I319" s="8" t="str"/>
    </ns0:row>
    <ns0:row r="320" ht="82" customHeight="1">
      <ns0:c r="A320" s="8" t="n">
        <ns0:v>314</ns0:v>
      </ns0:c>
      <ns0:c r="B320" s="8" t="str">
        <ns0:v>Third Law Pairs</ns0:v>
      </ns0:c>
      <ns0:c r="C320" s="8" t="str">
        <ns0:v>Motion</ns0:v>
      </ns0:c>
      <ns0:c r="D320" s="8" t="str">
        <ns0:v>Page</ns0:v>
      </ns0:c>
      <ns0:c r="E320" s="8" t="str">
        <ns0:v>Forces occur in pairs on different objects. The masses may differ, but the interaction forces and impulses remain equal and opposite.</ns0:v>
      </ns0:c>
      <ns0:c r="F320" s="9" t="str">
        <ns0:f>HYPERLINK("https://physics.aimersociety.com/motion/third-law-pairs","https://physics.aimersociety.com/motion/third-law-pairs")</ns0:f>
        <ns0:v>https://physics.aimersociety.com/motion/third-law-pairs</ns0:v>
      </ns0:c>
      <ns0:c r="G320" s="8" t="str">
        <ns0:v>/motion/third-law-pairs</ns0:v>
      </ns0:c>
      <ns0:c r="H320" s="8" t="str">
        <ns0:v>src/pages/ThirdLawStudioPage.tsx</ns0:v>
      </ns0:c>
      <ns0:c r="I320" s="8" t="str"/>
    </ns0:row>
    <ns0:row r="321" ht="82" customHeight="1">
      <ns0:c r="A321" s="8" t="n">
        <ns0:v>315</ns0:v>
      </ns0:c>
      <ns0:c r="B321" s="8" t="str">
        <ns0:v>Universal Gravity</ns0:v>
      </ns0:c>
      <ns0:c r="C321" s="8" t="str">
        <ns0:v>Motion</ns0:v>
      </ns0:c>
      <ns0:c r="D321" s="8" t="str">
        <ns0:v>Page</ns0:v>
      </ns0:c>
      <ns0:c r="E321" s="8" t="str">
        <ns0:v>Explore how mass and distance determine gravitational force.</ns0:v>
      </ns0:c>
      <ns0:c r="F321" s="9" t="str">
        <ns0:f>HYPERLINK("https://physics.aimersociety.com/motion/universal-gravity","https://physics.aimersociety.com/motion/universal-gravity")</ns0:f>
        <ns0:v>https://physics.aimersociety.com/motion/universal-gravity</ns0:v>
      </ns0:c>
      <ns0:c r="G321" s="8" t="str">
        <ns0:v>/motion/universal-gravity</ns0:v>
      </ns0:c>
      <ns0:c r="H321" s="8" t="str">
        <ns0:v>src/pages/UniversalGravityStudioPage.tsx</ns0:v>
      </ns0:c>
      <ns0:c r="I321" s="8" t="str"/>
    </ns0:row>
    <ns0:row r="322" ht="82" customHeight="1">
      <ns0:c r="A322" s="8" t="n">
        <ns0:v>316</ns0:v>
      </ns0:c>
      <ns0:c r="B322" s="8" t="str">
        <ns0:v>Velocity Time</ns0:v>
      </ns0:c>
      <ns0:c r="C322" s="8" t="str">
        <ns0:v>Motion</ns0:v>
      </ns0:c>
      <ns0:c r="D322" s="8" t="str">
        <ns0:v>Page</ns0:v>
      </ns0:c>
      <ns0:c r="E322" s="8" t="str">
        <ns0:v>Average velocity needs a nonzero time interval.</ns0:v>
      </ns0:c>
      <ns0:c r="F322" s="9" t="str">
        <ns0:f>HYPERLINK("https://physics.aimersociety.com/motion/velocity-time","https://physics.aimersociety.com/motion/velocity-time")</ns0:f>
        <ns0:v>https://physics.aimersociety.com/motion/velocity-time</ns0:v>
      </ns0:c>
      <ns0:c r="G322" s="8" t="str">
        <ns0:v>/motion/velocity-time</ns0:v>
      </ns0:c>
      <ns0:c r="H322" s="8" t="str">
        <ns0:v>src/pages/VelocityTimePage.tsx</ns0:v>
      </ns0:c>
      <ns0:c r="I322" s="8" t="str"/>
    </ns0:row>
    <ns0:row r="323" ht="82" customHeight="1">
      <ns0:c r="A323" s="8" t="n">
        <ns0:v>317</ns0:v>
      </ns0:c>
      <ns0:c r="B323" s="8" t="str">
        <ns0:v>Wave Properties</ns0:v>
      </ns0:c>
      <ns0:c r="C323" s="8" t="str">
        <ns0:v>Motion</ns0:v>
      </ns0:c>
      <ns0:c r="D323" s="8" t="str">
        <ns0:v>Page</ns0:v>
      </ns0:c>
      <ns0:c r="E323" s="8" t="str">
        <ns0:v>Explore how amplitude, frequency, and speed shape a traveling wave.</ns0:v>
      </ns0:c>
      <ns0:c r="F323" s="9" t="str">
        <ns0:f>HYPERLINK("https://physics.aimersociety.com/motion/wave-properties","https://physics.aimersociety.com/motion/wave-properties")</ns0:f>
        <ns0:v>https://physics.aimersociety.com/motion/wave-properties</ns0:v>
      </ns0:c>
      <ns0:c r="G323" s="8" t="str">
        <ns0:v>/motion/wave-properties</ns0:v>
      </ns0:c>
      <ns0:c r="H323" s="8" t="str">
        <ns0:v>src/pages/WavePropertiesStudioPage.tsx</ns0:v>
      </ns0:c>
      <ns0:c r="I323" s="8" t="str"/>
    </ns0:row>
    <ns0:row r="324" ht="82" customHeight="1">
      <ns0:c r="A324" s="8" t="n">
        <ns0:v>318</ns0:v>
      </ns0:c>
      <ns0:c r="B324" s="8" t="str">
        <ns0:v>Work</ns0:v>
      </ns0:c>
      <ns0:c r="C324" s="8" t="str">
        <ns0:v>Motion</ns0:v>
      </ns0:c>
      <ns0:c r="D324" s="8" t="str">
        <ns0:v>Page</ns0:v>
      </ns0:c>
      <ns0:c r="E324" s="8" t="str">
        <ns0:v>Explore how a force doing work depends on its magnitude, direction, and displacement.</ns0:v>
      </ns0:c>
      <ns0:c r="F324" s="9" t="str">
        <ns0:f>HYPERLINK("https://physics.aimersociety.com/motion/work","https://physics.aimersociety.com/motion/work")</ns0:f>
        <ns0:v>https://physics.aimersociety.com/motion/work</ns0:v>
      </ns0:c>
      <ns0:c r="G324" s="8" t="str">
        <ns0:v>/motion/work</ns0:v>
      </ns0:c>
      <ns0:c r="H324" s="8" t="str">
        <ns0:v>src/pages/WorkStudioPage.tsx</ns0:v>
      </ns0:c>
      <ns0:c r="I324" s="8" t="str"/>
    </ns0:row>
    <ns0:row r="325" ht="82" customHeight="1">
      <ns0:c r="A325" s="8" t="n">
        <ns0:v>319</ns0:v>
      </ns0:c>
      <ns0:c r="B325" s="8" t="str">
        <ns0:v>Diffraction</ns0:v>
      </ns0:c>
      <ns0:c r="C325" s="8" t="str">
        <ns0:v>Optics</ns0:v>
      </ns0:c>
      <ns0:c r="D325" s="8" t="str">
        <ns0:v>Page</ns0:v>
      </ns0:c>
      <ns0:c r="E325" s="8" t="str">
        <ns0:v>Explore the single-slit diffraction pattern and central maximum.</ns0:v>
      </ns0:c>
      <ns0:c r="F325" s="9" t="str">
        <ns0:f>HYPERLINK("https://physics.aimersociety.com/optics/diffraction","https://physics.aimersociety.com/optics/diffraction")</ns0:f>
        <ns0:v>https://physics.aimersociety.com/optics/diffraction</ns0:v>
      </ns0:c>
      <ns0:c r="G325" s="8" t="str">
        <ns0:v>/optics/diffraction</ns0:v>
      </ns0:c>
      <ns0:c r="H325" s="8" t="str">
        <ns0:v>src/pages/DiffractionStudioPage.tsx</ns0:v>
      </ns0:c>
      <ns0:c r="I325" s="8" t="str"/>
    </ns0:row>
    <ns0:row r="326" ht="82" customHeight="1">
      <ns0:c r="A326" s="8" t="n">
        <ns0:v>320</ns0:v>
      </ns0:c>
      <ns0:c r="B326" s="8" t="str">
        <ns0:v>Interference</ns0:v>
      </ns0:c>
      <ns0:c r="C326" s="8" t="str">
        <ns0:v>Optics</ns0:v>
      </ns0:c>
      <ns0:c r="D326" s="8" t="str">
        <ns0:v>Page</ns0:v>
      </ns0:c>
      <ns0:c r="E326" s="8" t="str">
        <ns0:v>Explore bright and dark fringes formed by coherent light.</ns0:v>
      </ns0:c>
      <ns0:c r="F326" s="9" t="str">
        <ns0:f>HYPERLINK("https://physics.aimersociety.com/optics/interference","https://physics.aimersociety.com/optics/interference")</ns0:f>
        <ns0:v>https://physics.aimersociety.com/optics/interference</ns0:v>
      </ns0:c>
      <ns0:c r="G326" s="8" t="str">
        <ns0:v>/optics/interference</ns0:v>
      </ns0:c>
      <ns0:c r="H326" s="8" t="str">
        <ns0:v>src/pages/OpticsInterferenceStudioPage.tsx</ns0:v>
      </ns0:c>
      <ns0:c r="I326" s="8" t="str"/>
    </ns0:row>
    <ns0:row r="327" ht="82" customHeight="1">
      <ns0:c r="A327" s="8" t="n">
        <ns0:v>321</ns0:v>
      </ns0:c>
      <ns0:c r="B327" s="8" t="str">
        <ns0:v>Lenses</ns0:v>
      </ns0:c>
      <ns0:c r="C327" s="8" t="str">
        <ns0:v>Optics</ns0:v>
      </ns0:c>
      <ns0:c r="D327" s="8" t="str">
        <ns0:v>Page</ns0:v>
      </ns0:c>
      <ns0:c r="E327" s="8" t="str">
        <ns0:v>Explore how lenses form images using ray diagrams and a realistic optical bench.</ns0:v>
      </ns0:c>
      <ns0:c r="F327" s="9" t="str">
        <ns0:f>HYPERLINK("https://physics.aimersociety.com/optics/lenses","https://physics.aimersociety.com/optics/lenses")</ns0:f>
        <ns0:v>https://physics.aimersociety.com/optics/lenses</ns0:v>
      </ns0:c>
      <ns0:c r="G327" s="8" t="str">
        <ns0:v>/optics/lenses</ns0:v>
      </ns0:c>
      <ns0:c r="H327" s="8" t="str">
        <ns0:v>src/pages/LensesStudioPage.tsx</ns0:v>
      </ns0:c>
      <ns0:c r="I327" s="8" t="str"/>
    </ns0:row>
    <ns0:row r="328" ht="82" customHeight="1">
      <ns0:c r="A328" s="8" t="n">
        <ns0:v>322</ns0:v>
      </ns0:c>
      <ns0:c r="B328" s="8" t="str">
        <ns0:v>Mirrors</ns0:v>
      </ns0:c>
      <ns0:c r="C328" s="8" t="str">
        <ns0:v>Optics</ns0:v>
      </ns0:c>
      <ns0:c r="D328" s="8" t="str">
        <ns0:v>Page</ns0:v>
      </ns0:c>
      <ns0:c r="E328" s="8" t="str">
        <ns0:v>Explore how concave and convex mirrors form images.</ns0:v>
      </ns0:c>
      <ns0:c r="F328" s="9" t="str">
        <ns0:f>HYPERLINK("https://physics.aimersociety.com/optics/mirrors","https://physics.aimersociety.com/optics/mirrors")</ns0:f>
        <ns0:v>https://physics.aimersociety.com/optics/mirrors</ns0:v>
      </ns0:c>
      <ns0:c r="G328" s="8" t="str">
        <ns0:v>/optics/mirrors</ns0:v>
      </ns0:c>
      <ns0:c r="H328" s="8" t="str">
        <ns0:v>src/pages/MirrorsStudioPage.tsx</ns0:v>
      </ns0:c>
      <ns0:c r="I328" s="8" t="str"/>
    </ns0:row>
    <ns0:row r="329" ht="82" customHeight="1">
      <ns0:c r="A329" s="8" t="n">
        <ns0:v>323</ns0:v>
      </ns0:c>
      <ns0:c r="B329" s="8" t="str">
        <ns0:v>Reflection</ns0:v>
      </ns0:c>
      <ns0:c r="C329" s="8" t="str">
        <ns0:v>Optics</ns0:v>
      </ns0:c>
      <ns0:c r="D329" s="8" t="str">
        <ns0:v>Page</ns0:v>
      </ns0:c>
      <ns0:c r="E329" s="8" t="str">
        <ns0:v>Discover how light reflects from a plane mirror and verify the law of reflection.</ns0:v>
      </ns0:c>
      <ns0:c r="F329" s="9" t="str">
        <ns0:f>HYPERLINK("https://physics.aimersociety.com/optics/reflection","https://physics.aimersociety.com/optics/reflection")</ns0:f>
        <ns0:v>https://physics.aimersociety.com/optics/reflection</ns0:v>
      </ns0:c>
      <ns0:c r="G329" s="8" t="str">
        <ns0:v>/optics/reflection</ns0:v>
      </ns0:c>
      <ns0:c r="H329" s="8" t="str">
        <ns0:v>src/pages/ReflectionStudioPage.tsx</ns0:v>
      </ns0:c>
      <ns0:c r="I329" s="8" t="str"/>
    </ns0:row>
    <ns0:row r="330" ht="82" customHeight="1">
      <ns0:c r="A330" s="8" t="n">
        <ns0:v>324</ns0:v>
      </ns0:c>
      <ns0:c r="B330" s="8" t="str">
        <ns0:v>Refraction</ns0:v>
      </ns0:c>
      <ns0:c r="C330" s="8" t="str">
        <ns0:v>Optics</ns0:v>
      </ns0:c>
      <ns0:c r="D330" s="8" t="str">
        <ns0:v>Page</ns0:v>
      </ns0:c>
      <ns0:c r="E330" s="8" t="str">
        <ns0:v>Explore how light bends when it passes between different media.</ns0:v>
      </ns0:c>
      <ns0:c r="F330" s="9" t="str">
        <ns0:f>HYPERLINK("https://physics.aimersociety.com/optics/refraction","https://physics.aimersociety.com/optics/refraction")</ns0:f>
        <ns0:v>https://physics.aimersociety.com/optics/refraction</ns0:v>
      </ns0:c>
      <ns0:c r="G330" s="8" t="str">
        <ns0:v>/optics/refraction</ns0:v>
      </ns0:c>
      <ns0:c r="H330" s="8" t="str">
        <ns0:v>src/pages/RefractionStudioPage.tsx</ns0:v>
      </ns0:c>
      <ns0:c r="I330" s="8" t="str"/>
    </ns0:row>
    <ns0:row r="331" ht="82" customHeight="1">
      <ns0:c r="A331" s="8" t="n">
        <ns0:v>325</ns0:v>
      </ns0:c>
      <ns0:c r="B331" s="8" t="str">
        <ns0:v>Physics MCQ Challenge</ns0:v>
      </ns0:c>
      <ns0:c r="C331" s="8" t="str">
        <ns0:v>Quiz</ns0:v>
      </ns0:c>
      <ns0:c r="D331" s="8" t="str">
        <ns0:v>Page</ns0:v>
      </ns0:c>
      <ns0:c r="E331" s="8" t="str">
        <ns0:v>Missed answers will appear here. New rounds will add more questions from those tags.</ns0:v>
      </ns0:c>
      <ns0:c r="F331" s="9" t="str">
        <ns0:f>HYPERLINK("https://physics.aimersociety.com/quiz","https://physics.aimersociety.com/quiz")</ns0:f>
        <ns0:v>https://physics.aimersociety.com/quiz</ns0:v>
      </ns0:c>
      <ns0:c r="G331" s="8" t="str">
        <ns0:v>/quiz</ns0:v>
      </ns0:c>
      <ns0:c r="H331" s="8" t="str">
        <ns0:v>src/pages/QuizPage.tsx</ns0:v>
      </ns0:c>
      <ns0:c r="I331" s="8" t="str"/>
    </ns0:row>
    <ns0:row r="332" ht="82" customHeight="1">
      <ns0:c r="A332" s="8" t="n">
        <ns0:v>326</ns0:v>
      </ns0:c>
      <ns0:c r="B332" s="8" t="str">
        <ns0:v>Entropy</ns0:v>
      </ns0:c>
      <ns0:c r="C332" s="8" t="str">
        <ns0:v>Thermodynamics</ns0:v>
      </ns0:c>
      <ns0:c r="D332" s="8" t="str">
        <ns0:v>Page</ns0:v>
      </ns0:c>
      <ns0:c r="E332" s="8" t="str">
        <ns0:v>Remove the divider and watch the system evolve toward higher entropy.</ns0:v>
      </ns0:c>
      <ns0:c r="F332" s="9" t="str">
        <ns0:f>HYPERLINK("https://physics.aimersociety.com/thermodynamics/entropy","https://physics.aimersociety.com/thermodynamics/entropy")</ns0:f>
        <ns0:v>https://physics.aimersociety.com/thermodynamics/entropy</ns0:v>
      </ns0:c>
      <ns0:c r="G332" s="8" t="str">
        <ns0:v>/thermodynamics/entropy</ns0:v>
      </ns0:c>
      <ns0:c r="H332" s="8" t="str">
        <ns0:v>src/pages/EntropyStudioPage.tsx</ns0:v>
      </ns0:c>
      <ns0:c r="I332" s="8" t="str"/>
    </ns0:row>
    <ns0:row r="333" ht="82" customHeight="1">
      <ns0:c r="A333" s="8" t="n">
        <ns0:v>327</ns0:v>
      </ns0:c>
      <ns0:c r="B333" s="8" t="str">
        <ns0:v>First Law</ns0:v>
      </ns0:c>
      <ns0:c r="C333" s="8" t="str">
        <ns0:v>Thermodynamics</ns0:v>
      </ns0:c>
      <ns0:c r="D333" s="8" t="str">
        <ns0:v>Page</ns0:v>
      </ns0:c>
      <ns0:c r="E333" s="8" t="str">
        <ns0:v>Energy in. Energy out. Change in internal energy.</ns0:v>
      </ns0:c>
      <ns0:c r="F333" s="9" t="str">
        <ns0:f>HYPERLINK("https://physics.aimersociety.com/thermodynamics/first-law","https://physics.aimersociety.com/thermodynamics/first-law")</ns0:f>
        <ns0:v>https://physics.aimersociety.com/thermodynamics/first-law</ns0:v>
      </ns0:c>
      <ns0:c r="G333" s="8" t="str">
        <ns0:v>/thermodynamics/first-law</ns0:v>
      </ns0:c>
      <ns0:c r="H333" s="8" t="str">
        <ns0:v>src/pages/FirstLawStudioPage.tsx</ns0:v>
      </ns0:c>
      <ns0:c r="I333" s="8" t="str"/>
    </ns0:row>
    <ns0:row r="334" ht="82" customHeight="1">
      <ns0:c r="A334" s="8" t="n">
        <ns0:v>328</ns0:v>
      </ns0:c>
      <ns0:c r="B334" s="8" t="str">
        <ns0:v>Gas Laws</ns0:v>
      </ns0:c>
      <ns0:c r="C334" s="8" t="str">
        <ns0:v>Thermodynamics</ns0:v>
      </ns0:c>
      <ns0:c r="D334" s="8" t="str">
        <ns0:v>Page</ns0:v>
      </ns0:c>
      <ns0:c r="E334" s="8" t="str">
        <ns0:v>Explore pressure, volume, and temperature in an ideal gas.</ns0:v>
      </ns0:c>
      <ns0:c r="F334" s="9" t="str">
        <ns0:f>HYPERLINK("https://physics.aimersociety.com/thermodynamics/gas-laws","https://physics.aimersociety.com/thermodynamics/gas-laws")</ns0:f>
        <ns0:v>https://physics.aimersociety.com/thermodynamics/gas-laws</ns0:v>
      </ns0:c>
      <ns0:c r="G334" s="8" t="str">
        <ns0:v>/thermodynamics/gas-laws</ns0:v>
      </ns0:c>
      <ns0:c r="H334" s="8" t="str">
        <ns0:v>src/pages/GasLawsStudioPage.tsx</ns0:v>
      </ns0:c>
      <ns0:c r="I334" s="8" t="str"/>
    </ns0:row>
    <ns0:row r="335" ht="82" customHeight="1">
      <ns0:c r="A335" s="8" t="n">
        <ns0:v>329</ns0:v>
      </ns0:c>
      <ns0:c r="B335" s="8" t="str">
        <ns0:v>Heat Engines</ns0:v>
      </ns0:c>
      <ns0:c r="C335" s="8" t="str">
        <ns0:v>Thermodynamics</ns0:v>
      </ns0:c>
      <ns0:c r="D335" s="8" t="str">
        <ns0:v>Page</ns0:v>
      </ns0:c>
      <ns0:c r="E335" s="8" t="str">
        <ns0:v>Convert heat flow between reservoirs into useful work.</ns0:v>
      </ns0:c>
      <ns0:c r="F335" s="9" t="str">
        <ns0:f>HYPERLINK("https://physics.aimersociety.com/thermodynamics/heat-engines","https://physics.aimersociety.com/thermodynamics/heat-engines")</ns0:f>
        <ns0:v>https://physics.aimersociety.com/thermodynamics/heat-engines</ns0:v>
      </ns0:c>
      <ns0:c r="G335" s="8" t="str">
        <ns0:v>/thermodynamics/heat-engines</ns0:v>
      </ns0:c>
      <ns0:c r="H335" s="8" t="str">
        <ns0:v>src/pages/HeatEnginesStudioPage.tsx</ns0:v>
      </ns0:c>
      <ns0:c r="I335" s="8" t="str"/>
    </ns0:row>
    <ns0:row r="336" ht="82" customHeight="1">
      <ns0:c r="A336" s="8" t="n">
        <ns0:v>330</ns0:v>
      </ns0:c>
      <ns0:c r="B336" s="8" t="str">
        <ns0:v>Heat Transfer</ns0:v>
      </ns0:c>
      <ns0:c r="C336" s="8" t="str">
        <ns0:v>Thermodynamics</ns0:v>
      </ns0:c>
      <ns0:c r="D336" s="8" t="str">
        <ns0:v>Page</ns0:v>
      </ns0:c>
      <ns0:c r="E336" s="8" t="str">
        <ns0:v>Compare conduction through a rod, convection in a fluid, and thermal radiation.</ns0:v>
      </ns0:c>
      <ns0:c r="F336" s="9" t="str">
        <ns0:f>HYPERLINK("https://physics.aimersociety.com/thermodynamics/heat-transfer","https://physics.aimersociety.com/thermodynamics/heat-transfer")</ns0:f>
        <ns0:v>https://physics.aimersociety.com/thermodynamics/heat-transfer</ns0:v>
      </ns0:c>
      <ns0:c r="G336" s="8" t="str">
        <ns0:v>/thermodynamics/heat-transfer</ns0:v>
      </ns0:c>
      <ns0:c r="H336" s="8" t="str">
        <ns0:v>src/pages/HeatTransferStudioPage.tsx</ns0:v>
      </ns0:c>
      <ns0:c r="I336" s="8" t="str"/>
    </ns0:row>
    <ns0:row r="337" ht="82" customHeight="1">
      <ns0:c r="A337" s="8" t="n">
        <ns0:v>331</ns0:v>
      </ns0:c>
      <ns0:c r="B337" s="8" t="str">
        <ns0:v>Temperature</ns0:v>
      </ns0:c>
      <ns0:c r="C337" s="8" t="str">
        <ns0:v>Thermodynamics</ns0:v>
      </ns0:c>
      <ns0:c r="D337" s="8" t="str">
        <ns0:v>Page</ns0:v>
      </ns0:c>
      <ns0:c r="E337" s="8" t="str">
        <ns0:v>Compare molecular motion in hot and cold gases and observe thermal equilibrium.</ns0:v>
      </ns0:c>
      <ns0:c r="F337" s="9" t="str">
        <ns0:f>HYPERLINK("https://physics.aimersociety.com/thermodynamics/temperature","https://physics.aimersociety.com/thermodynamics/temperature")</ns0:f>
        <ns0:v>https://physics.aimersociety.com/thermodynamics/temperature</ns0:v>
      </ns0:c>
      <ns0:c r="G337" s="8" t="str">
        <ns0:v>/thermodynamics/temperature</ns0:v>
      </ns0:c>
      <ns0:c r="H337" s="8" t="str">
        <ns0:v>src/pages/TemperatureStudioPage.tsx</ns0:v>
      </ns0:c>
      <ns0:c r="I337" s="8" t="str"/>
    </ns0:row>
    <ns0:row r="338" ht="82" customHeight="1">
      <ns0:c r="A338" s="8" t="n">
        <ns0:v>332</ns0:v>
      </ns0:c>
      <ns0:c r="B338" s="8" t="str">
        <ns0:v>This experiment needs a refresh</ns0:v>
      </ns0:c>
      <ns0:c r="C338" s="8" t="str">
        <ns0:v>Topics</ns0:v>
      </ns0:c>
      <ns0:c r="D338" s="8" t="str">
        <ns0:v>Page</ns0:v>
      </ns0:c>
      <ns0:c r="E338" s="8" t="str">
        <ns0:v>Explore this experiment needs a refresh through its interactive page.</ns0:v>
      </ns0:c>
      <ns0:c r="F338" s="9" t="str">
        <ns0:f>HYPERLINK("https://physics.aimersociety.com/topics","https://physics.aimersociety.com/topics")</ns0:f>
        <ns0:v>https://physics.aimersociety.com/topics</ns0:v>
      </ns0:c>
      <ns0:c r="G338" s="8" t="str">
        <ns0:v>/topics</ns0:v>
      </ns0:c>
      <ns0:c r="H338" s="8" t="str">
        <ns0:v>src/App.tsx</ns0:v>
      </ns0:c>
      <ns0:c r="I338" s="8" t="str">
        <ns0:v>Redirects to /topics/mechanics</ns0:v>
      </ns0:c>
    </ns0:row>
    <ns0:row r="339" ht="82" customHeight="1">
      <ns0:c r="A339" s="8" t="n">
        <ns0:v>333</ns0:v>
      </ns0:c>
      <ns0:c r="B339" s="8" t="str">
        <ns0:v>Quantum Field Theory</ns0:v>
      </ns0:c>
      <ns0:c r="C339" s="8" t="str">
        <ns0:v>Particle Physics / Fields</ns0:v>
      </ns0:c>
      <ns0:c r="D339" s="8" t="str">
        <ns0:v>Particle concept</ns0:v>
      </ns0:c>
      <ns0:c r="E339" s="8" t="str">
        <ns0:v>Particles are treated as quantized excitations of fields spread through space.</ns0:v>
      </ns0:c>
      <ns0:c r="F339" s="9" t="str">
        <ns0:f>HYPERLINK("https://physics.aimersociety.com/particle-physics/quantum-field-theory","https://physics.aimersociety.com/particle-physics/quantum-field-theory")</ns0:f>
        <ns0:v>https://physics.aimersociety.com/particle-physics/quantum-field-theory</ns0:v>
      </ns0:c>
      <ns0:c r="G339" s="8" t="str">
        <ns0:v>/particle-physics/quantum-field-theory</ns0:v>
      </ns0:c>
      <ns0:c r="H339" s="8" t="str">
        <ns0:v>src/lib/particlePhysics.ts</ns0:v>
      </ns0:c>
      <ns0:c r="I339" s="8" t="str"/>
    </ns0:row>
    <ns0:row r="340" ht="82" customHeight="1">
      <ns0:c r="A340" s="8" t="n">
        <ns0:v>334</ns0:v>
      </ns0:c>
      <ns0:c r="B340" s="8" t="str">
        <ns0:v>Symmetry Breaking</ns0:v>
      </ns0:c>
      <ns0:c r="C340" s="8" t="str">
        <ns0:v>Particle Physics / Fields</ns0:v>
      </ns0:c>
      <ns0:c r="D340" s="8" t="str">
        <ns0:v>Particle concept</ns0:v>
      </ns0:c>
      <ns0:c r="E340" s="8" t="str">
        <ns0:v>A system can obey symmetric laws while settling into a less symmetric state.</ns0:v>
      </ns0:c>
      <ns0:c r="F340" s="9" t="str">
        <ns0:f>HYPERLINK("https://physics.aimersociety.com/particle-physics/symmetry-breaking","https://physics.aimersociety.com/particle-physics/symmetry-breaking")</ns0:f>
        <ns0:v>https://physics.aimersociety.com/particle-physics/symmetry-breaking</ns0:v>
      </ns0:c>
      <ns0:c r="G340" s="8" t="str">
        <ns0:v>/particle-physics/symmetry-breaking</ns0:v>
      </ns0:c>
      <ns0:c r="H340" s="8" t="str">
        <ns0:v>src/lib/particlePhysics.ts</ns0:v>
      </ns0:c>
      <ns0:c r="I340" s="8" t="str"/>
    </ns0:row>
    <ns0:row r="341" ht="82" customHeight="1">
      <ns0:c r="A341" s="8" t="n">
        <ns0:v>335</ns0:v>
      </ns0:c>
      <ns0:c r="B341" s="8" t="str">
        <ns0:v>Gauge Bosons</ns0:v>
      </ns0:c>
      <ns0:c r="C341" s="8" t="str">
        <ns0:v>Particle Physics / Forces</ns0:v>
      </ns0:c>
      <ns0:c r="D341" s="8" t="str">
        <ns0:v>Particle concept</ns0:v>
      </ns0:c>
      <ns0:c r="E341" s="8" t="str">
        <ns0:v>Force carriers that mediate electromagnetic, weak, and strong interactions.</ns0:v>
      </ns0:c>
      <ns0:c r="F341" s="9" t="str">
        <ns0:f>HYPERLINK("https://physics.aimersociety.com/particle-physics/gauge-bosons","https://physics.aimersociety.com/particle-physics/gauge-bosons")</ns0:f>
        <ns0:v>https://physics.aimersociety.com/particle-physics/gauge-bosons</ns0:v>
      </ns0:c>
      <ns0:c r="G341" s="8" t="str">
        <ns0:v>/particle-physics/gauge-bosons</ns0:v>
      </ns0:c>
      <ns0:c r="H341" s="8" t="str">
        <ns0:v>src/lib/particlePhysics.ts</ns0:v>
      </ns0:c>
      <ns0:c r="I341" s="8" t="str"/>
    </ns0:row>
    <ns0:row r="342" ht="82" customHeight="1">
      <ns0:c r="A342" s="8" t="n">
        <ns0:v>336</ns0:v>
      </ns0:c>
      <ns0:c r="B342" s="8" t="str">
        <ns0:v>Gluons and Color Charge</ns0:v>
      </ns0:c>
      <ns0:c r="C342" s="8" t="str">
        <ns0:v>Particle Physics / Forces</ns0:v>
      </ns0:c>
      <ns0:c r="D342" s="8" t="str">
        <ns0:v>Particle concept</ns0:v>
      </ns0:c>
      <ns0:c r="E342" s="8" t="str">
        <ns0:v>Gluons carry the strong force between color-charged quarks.</ns0:v>
      </ns0:c>
      <ns0:c r="F342" s="9" t="str">
        <ns0:f>HYPERLINK("https://physics.aimersociety.com/particle-physics/gluons-color-charge","https://physics.aimersociety.com/particle-physics/gluons-color-charge")</ns0:f>
        <ns0:v>https://physics.aimersociety.com/particle-physics/gluons-color-charge</ns0:v>
      </ns0:c>
      <ns0:c r="G342" s="8" t="str">
        <ns0:v>/particle-physics/gluons-color-charge</ns0:v>
      </ns0:c>
      <ns0:c r="H342" s="8" t="str">
        <ns0:v>src/lib/particlePhysics.ts</ns0:v>
      </ns0:c>
      <ns0:c r="I342" s="8" t="str"/>
    </ns0:row>
    <ns0:row r="343" ht="82" customHeight="1">
      <ns0:c r="A343" s="8" t="n">
        <ns0:v>337</ns0:v>
      </ns0:c>
      <ns0:c r="B343" s="8" t="str">
        <ns0:v>Standard Model</ns0:v>
      </ns0:c>
      <ns0:c r="C343" s="8" t="str">
        <ns0:v>Particle Physics / Framework</ns0:v>
      </ns0:c>
      <ns0:c r="D343" s="8" t="str">
        <ns0:v>Particle concept</ns0:v>
      </ns0:c>
      <ns0:c r="E343" s="8" t="str">
        <ns0:v>The organizing map of known elementary particles and their non-gravity interactions.</ns0:v>
      </ns0:c>
      <ns0:c r="F343" s="9" t="str">
        <ns0:f>HYPERLINK("https://physics.aimersociety.com/particle-physics/standard-model","https://physics.aimersociety.com/particle-physics/standard-model")</ns0:f>
        <ns0:v>https://physics.aimersociety.com/particle-physics/standard-model</ns0:v>
      </ns0:c>
      <ns0:c r="G343" s="8" t="str">
        <ns0:v>/particle-physics/standard-model</ns0:v>
      </ns0:c>
      <ns0:c r="H343" s="8" t="str">
        <ns0:v>src/lib/particlePhysics.ts</ns0:v>
      </ns0:c>
      <ns0:c r="I343" s="8" t="str"/>
    </ns0:row>
    <ns0:row r="344" ht="82" customHeight="1">
      <ns0:c r="A344" s="8" t="n">
        <ns0:v>338</ns0:v>
      </ns0:c>
      <ns0:c r="B344" s="8" t="str">
        <ns0:v>Higgs Boson</ns0:v>
      </ns0:c>
      <ns0:c r="C344" s="8" t="str">
        <ns0:v>Particle Physics / Mass</ns0:v>
      </ns0:c>
      <ns0:c r="D344" s="8" t="str">
        <ns0:v>Particle concept</ns0:v>
      </ns0:c>
      <ns0:c r="E344" s="8" t="str">
        <ns0:v>The measurable quantum ripple of the Higgs field, discovered at CERN in 2012.</ns0:v>
      </ns0:c>
      <ns0:c r="F344" s="9" t="str">
        <ns0:f>HYPERLINK("https://physics.aimersociety.com/particle-physics/higgs-boson","https://physics.aimersociety.com/particle-physics/higgs-boson")</ns0:f>
        <ns0:v>https://physics.aimersociety.com/particle-physics/higgs-boson</ns0:v>
      </ns0:c>
      <ns0:c r="G344" s="8" t="str">
        <ns0:v>/particle-physics/higgs-boson</ns0:v>
      </ns0:c>
      <ns0:c r="H344" s="8" t="str">
        <ns0:v>src/lib/particlePhysics.ts</ns0:v>
      </ns0:c>
      <ns0:c r="I344" s="8" t="str"/>
    </ns0:row>
    <ns0:row r="345" ht="82" customHeight="1">
      <ns0:c r="A345" s="8" t="n">
        <ns0:v>339</ns0:v>
      </ns0:c>
      <ns0:c r="B345" s="8" t="str">
        <ns0:v>Antimatter</ns0:v>
      </ns0:c>
      <ns0:c r="C345" s="8" t="str">
        <ns0:v>Particle Physics / Matter</ns0:v>
      </ns0:c>
      <ns0:c r="D345" s="8" t="str">
        <ns0:v>Particle concept</ns0:v>
      </ns0:c>
      <ns0:c r="E345" s="8" t="str">
        <ns0:v>Matter partners with opposite charge and related quantum numbers.</ns0:v>
      </ns0:c>
      <ns0:c r="F345" s="9" t="str">
        <ns0:f>HYPERLINK("https://physics.aimersociety.com/particle-physics/antimatter","https://physics.aimersociety.com/particle-physics/antimatter")</ns0:f>
        <ns0:v>https://physics.aimersociety.com/particle-physics/antimatter</ns0:v>
      </ns0:c>
      <ns0:c r="G345" s="8" t="str">
        <ns0:v>/particle-physics/antimatter</ns0:v>
      </ns0:c>
      <ns0:c r="H345" s="8" t="str">
        <ns0:v>src/lib/particlePhysics.ts</ns0:v>
      </ns0:c>
      <ns0:c r="I345" s="8" t="str"/>
    </ns0:row>
    <ns0:row r="346" ht="82" customHeight="1">
      <ns0:c r="A346" s="8" t="n">
        <ns0:v>340</ns0:v>
      </ns0:c>
      <ns0:c r="B346" s="8" t="str">
        <ns0:v>Leptons</ns0:v>
      </ns0:c>
      <ns0:c r="C346" s="8" t="str">
        <ns0:v>Particle Physics / Matter</ns0:v>
      </ns0:c>
      <ns0:c r="D346" s="8" t="str">
        <ns0:v>Particle concept</ns0:v>
      </ns0:c>
      <ns0:c r="E346" s="8" t="str">
        <ns0:v>Elementary matter particles that do not feel the strong force.</ns0:v>
      </ns0:c>
      <ns0:c r="F346" s="9" t="str">
        <ns0:f>HYPERLINK("https://physics.aimersociety.com/particle-physics/leptons","https://physics.aimersociety.com/particle-physics/leptons")</ns0:f>
        <ns0:v>https://physics.aimersociety.com/particle-physics/leptons</ns0:v>
      </ns0:c>
      <ns0:c r="G346" s="8" t="str">
        <ns0:v>/particle-physics/leptons</ns0:v>
      </ns0:c>
      <ns0:c r="H346" s="8" t="str">
        <ns0:v>src/lib/particlePhysics.ts</ns0:v>
      </ns0:c>
      <ns0:c r="I346" s="8" t="str"/>
    </ns0:row>
    <ns0:row r="347" ht="82" customHeight="1">
      <ns0:c r="A347" s="8" t="n">
        <ns0:v>341</ns0:v>
      </ns0:c>
      <ns0:c r="B347" s="8" t="str">
        <ns0:v>Quarks</ns0:v>
      </ns0:c>
      <ns0:c r="C347" s="8" t="str">
        <ns0:v>Particle Physics / Matter</ns0:v>
      </ns0:c>
      <ns0:c r="D347" s="8" t="str">
        <ns0:v>Particle concept</ns0:v>
      </ns0:c>
      <ns0:c r="E347" s="8" t="str">
        <ns0:v>Elementary matter particles that combine into hadrons such as protons and neutrons.</ns0:v>
      </ns0:c>
      <ns0:c r="F347" s="9" t="str">
        <ns0:f>HYPERLINK("https://physics.aimersociety.com/particle-physics/quarks","https://physics.aimersociety.com/particle-physics/quarks")</ns0:f>
        <ns0:v>https://physics.aimersociety.com/particle-physics/quarks</ns0:v>
      </ns0:c>
      <ns0:c r="G347" s="8" t="str">
        <ns0:v>/particle-physics/quarks</ns0:v>
      </ns0:c>
      <ns0:c r="H347" s="8" t="str">
        <ns0:v>src/lib/particlePhysics.ts</ns0:v>
      </ns0:c>
      <ns0:c r="I347" s="8" t="str"/>
    </ns0:row>
    <ns0:row r="348" ht="82" customHeight="1">
      <ns0:c r="A348" s="8" t="n">
        <ns0:v>342</ns0:v>
      </ns0:c>
      <ns0:c r="B348" s="8" t="str">
        <ns0:v>Neutrino Oscillation</ns0:v>
      </ns0:c>
      <ns0:c r="C348" s="8" t="str">
        <ns0:v>Particle Physics / Phenomena</ns0:v>
      </ns0:c>
      <ns0:c r="D348" s="8" t="str">
        <ns0:v>Particle concept</ns0:v>
      </ns0:c>
      <ns0:c r="E348" s="8" t="str">
        <ns0:v>Neutrinos can change flavor as they travel, proving they have mass.</ns0:v>
      </ns0:c>
      <ns0:c r="F348" s="9" t="str">
        <ns0:f>HYPERLINK("https://physics.aimersociety.com/particle-physics/neutrino-oscillation","https://physics.aimersociety.com/particle-physics/neutrino-oscillation")</ns0:f>
        <ns0:v>https://physics.aimersociety.com/particle-physics/neutrino-oscillation</ns0:v>
      </ns0:c>
      <ns0:c r="G348" s="8" t="str">
        <ns0:v>/particle-physics/neutrino-oscillation</ns0:v>
      </ns0:c>
      <ns0:c r="H348" s="8" t="str">
        <ns0:v>src/lib/particlePhysics.ts</ns0:v>
      </ns0:c>
      <ns0:c r="I348" s="8" t="str"/>
    </ns0:row>
    <ns0:row r="349" ht="82" customHeight="1">
      <ns0:c r="A349" s="8" t="n">
        <ns0:v>343</ns0:v>
      </ns0:c>
      <ns0:c r="B349" s="8" t="str">
        <ns0:v>Quark Confinement</ns0:v>
      </ns0:c>
      <ns0:c r="C349" s="8" t="str">
        <ns0:v>Particle Physics / Phenomena</ns0:v>
      </ns0:c>
      <ns0:c r="D349" s="8" t="str">
        <ns0:v>Particle concept</ns0:v>
      </ns0:c>
      <ns0:c r="E349" s="8" t="str">
        <ns0:v>Quarks and gluons are bound inside color-neutral hadrons at ordinary energies.</ns0:v>
      </ns0:c>
      <ns0:c r="F349" s="9" t="str">
        <ns0:f>HYPERLINK("https://physics.aimersociety.com/particle-physics/confinement","https://physics.aimersociety.com/particle-physics/confinement")</ns0:f>
        <ns0:v>https://physics.aimersociety.com/particle-physics/confinement</ns0:v>
      </ns0:c>
      <ns0:c r="G349" s="8" t="str">
        <ns0:v>/particle-physics/confinement</ns0:v>
      </ns0:c>
      <ns0:c r="H349" s="8" t="str">
        <ns0:v>src/lib/particlePhysics.ts</ns0:v>
      </ns0:c>
      <ns0:c r="I349" s="8" t="str"/>
    </ns0:row>
    <ns0:row r="350" ht="82" customHeight="1">
      <ns0:c r="A350" s="8" t="n">
        <ns0:v>344</ns0:v>
      </ns0:c>
      <ns0:c r="B350" s="8" t="str">
        <ns0:v>Home</ns0:v>
      </ns0:c>
      <ns0:c r="C350" s="8" t="str">
        <ns0:v>Core</ns0:v>
      </ns0:c>
      <ns0:c r="D350" s="8" t="str">
        <ns0:v>Platform</ns0:v>
      </ns0:c>
      <ns0:c r="E350" s="8" t="str">
        <ns0:v>Product home and launch point.</ns0:v>
      </ns0:c>
      <ns0:c r="F350" s="9" t="str">
        <ns0:f>HYPERLINK("https://physics.aimersociety.com/","https://physics.aimersociety.com/")</ns0:f>
        <ns0:v>https://physics.aimersociety.com/</ns0:v>
      </ns0:c>
      <ns0:c r="G350" s="8" t="str">
        <ns0:v>/</ns0:v>
      </ns0:c>
      <ns0:c r="H350" s="8" t="str">
        <ns0:v>src/lib/appDirectory.ts</ns0:v>
      </ns0:c>
      <ns0:c r="I350" s="8" t="str"/>
    </ns0:row>
    <ns0:row r="351" ht="82" customHeight="1">
      <ns0:c r="A351" s="8" t="n">
        <ns0:v>345</ns0:v>
      </ns0:c>
      <ns0:c r="B351" s="8" t="str">
        <ns0:v>Guided Lab</ns0:v>
      </ns0:c>
      <ns0:c r="C351" s="8" t="str">
        <ns0:v>Laboratory</ns0:v>
      </ns0:c>
      <ns0:c r="D351" s="8" t="str">
        <ns0:v>Platform</ns0:v>
      </ns0:c>
      <ns0:c r="E351" s="8" t="str">
        <ns0:v>Structured physics workspace.</ns0:v>
      </ns0:c>
      <ns0:c r="F351" s="9" t="str">
        <ns0:f>HYPERLINK("https://physics.aimersociety.com/lab","https://physics.aimersociety.com/lab")</ns0:f>
        <ns0:v>https://physics.aimersociety.com/lab</ns0:v>
      </ns0:c>
      <ns0:c r="G351" s="8" t="str">
        <ns0:v>/lab</ns0:v>
      </ns0:c>
      <ns0:c r="H351" s="8" t="str">
        <ns0:v>src/lib/appDirectory.ts</ns0:v>
      </ns0:c>
      <ns0:c r="I351" s="8" t="str"/>
    </ns0:row>
    <ns0:row r="352" ht="82" customHeight="1">
      <ns0:c r="A352" s="8" t="n">
        <ns0:v>346</ns0:v>
      </ns0:c>
      <ns0:c r="B352" s="8" t="str">
        <ns0:v>Syllabus</ns0:v>
      </ns0:c>
      <ns0:c r="C352" s="8" t="str">
        <ns0:v>Learning</ns0:v>
      </ns0:c>
      <ns0:c r="D352" s="8" t="str">
        <ns0:v>Platform</ns0:v>
      </ns0:c>
      <ns0:c r="E352" s="8" t="str">
        <ns0:v>Curriculum structure and topic coverage.</ns0:v>
      </ns0:c>
      <ns0:c r="F352" s="9" t="str">
        <ns0:f>HYPERLINK("https://physics.aimersociety.com/syllabus","https://physics.aimersociety.com/syllabus")</ns0:f>
        <ns0:v>https://physics.aimersociety.com/syllabus</ns0:v>
      </ns0:c>
      <ns0:c r="G352" s="8" t="str">
        <ns0:v>/syllabus</ns0:v>
      </ns0:c>
      <ns0:c r="H352" s="8" t="str">
        <ns0:v>src/lib/appDirectory.ts</ns0:v>
      </ns0:c>
      <ns0:c r="I352" s="8" t="str"/>
    </ns0:row>
    <ns0:row r="353" ht="82" customHeight="1">
      <ns0:c r="A353" s="8" t="n">
        <ns0:v>347</ns0:v>
      </ns0:c>
      <ns0:c r="B353" s="8" t="str">
        <ns0:v>Formula Revision Grid</ns0:v>
      </ns0:c>
      <ns0:c r="C353" s="8" t="str">
        <ns0:v>Reference</ns0:v>
      </ns0:c>
      <ns0:c r="D353" s="8" t="str">
        <ns0:v>Platform</ns0:v>
      </ns0:c>
      <ns0:c r="E353" s="8" t="str">
        <ns0:v>Categorized revision cards.</ns0:v>
      </ns0:c>
      <ns0:c r="F353" s="9" t="str">
        <ns0:f>HYPERLINK("https://physics.aimersociety.com/formulas/revision-grid","https://physics.aimersociety.com/formulas/revision-grid")</ns0:f>
        <ns0:v>https://physics.aimersociety.com/formulas/revision-grid</ns0:v>
      </ns0:c>
      <ns0:c r="G353" s="8" t="str">
        <ns0:v>/formulas/revision-grid</ns0:v>
      </ns0:c>
      <ns0:c r="H353" s="8" t="str">
        <ns0:v>src/lib/appDirectory.ts</ns0:v>
      </ns0:c>
      <ns0:c r="I353" s="8" t="str"/>
    </ns0:row>
    <ns0:row r="354" ht="82" customHeight="1">
      <ns0:c r="A354" s="8" t="n">
        <ns0:v>348</ns0:v>
      </ns0:c>
      <ns0:c r="B354" s="8" t="str">
        <ns0:v>Help Center</ns0:v>
      </ns0:c>
      <ns0:c r="C354" s="8" t="str">
        <ns0:v>Support</ns0:v>
      </ns0:c>
      <ns0:c r="D354" s="8" t="str">
        <ns0:v>Platform</ns0:v>
      </ns0:c>
      <ns0:c r="E354" s="8" t="str">
        <ns0:v>Usage guidance and shortcuts.</ns0:v>
      </ns0:c>
      <ns0:c r="F354" s="9" t="str">
        <ns0:f>HYPERLINK("https://physics.aimersociety.com/help","https://physics.aimersociety.com/help")</ns0:f>
        <ns0:v>https://physics.aimersociety.com/help</ns0:v>
      </ns0:c>
      <ns0:c r="G354" s="8" t="str">
        <ns0:v>/help</ns0:v>
      </ns0:c>
      <ns0:c r="H354" s="8" t="str">
        <ns0:v>src/lib/appDirectory.ts</ns0:v>
      </ns0:c>
      <ns0:c r="I354" s="8" t="str"/>
    </ns0:row>
    <ns0:row r="355" ht="82" customHeight="1">
      <ns0:c r="A355" s="8" t="n">
        <ns0:v>349</ns0:v>
      </ns0:c>
      <ns0:c r="B355" s="8" t="str">
        <ns0:v>Privacy</ns0:v>
      </ns0:c>
      <ns0:c r="C355" s="8" t="str">
        <ns0:v>Support</ns0:v>
      </ns0:c>
      <ns0:c r="D355" s="8" t="str">
        <ns0:v>Platform</ns0:v>
      </ns0:c>
      <ns0:c r="E355" s="8" t="str">
        <ns0:v>Privacy information.</ns0:v>
      </ns0:c>
      <ns0:c r="F355" s="9" t="str">
        <ns0:f>HYPERLINK("https://physics.aimersociety.com/privacy","https://physics.aimersociety.com/privacy")</ns0:f>
        <ns0:v>https://physics.aimersociety.com/privacy</ns0:v>
      </ns0:c>
      <ns0:c r="G355" s="8" t="str">
        <ns0:v>/privacy</ns0:v>
      </ns0:c>
      <ns0:c r="H355" s="8" t="str">
        <ns0:v>src/lib/appDirectory.ts</ns0:v>
      </ns0:c>
      <ns0:c r="I355" s="8" t="str"/>
    </ns0:row>
    <ns0:row r="356" ht="82" customHeight="1">
      <ns0:c r="A356" s="8" t="n">
        <ns0:v>350</ns0:v>
      </ns0:c>
      <ns0:c r="B356" s="8" t="str">
        <ns0:v>Terms</ns0:v>
      </ns0:c>
      <ns0:c r="C356" s="8" t="str">
        <ns0:v>Support</ns0:v>
      </ns0:c>
      <ns0:c r="D356" s="8" t="str">
        <ns0:v>Platform</ns0:v>
      </ns0:c>
      <ns0:c r="E356" s="8" t="str">
        <ns0:v>Terms of use.</ns0:v>
      </ns0:c>
      <ns0:c r="F356" s="9" t="str">
        <ns0:f>HYPERLINK("https://physics.aimersociety.com/terms","https://physics.aimersociety.com/terms")</ns0:f>
        <ns0:v>https://physics.aimersociety.com/terms</ns0:v>
      </ns0:c>
      <ns0:c r="G356" s="8" t="str">
        <ns0:v>/terms</ns0:v>
      </ns0:c>
      <ns0:c r="H356" s="8" t="str">
        <ns0:v>src/lib/appDirectory.ts</ns0:v>
      </ns0:c>
      <ns0:c r="I356" s="8" t="str"/>
    </ns0:row>
    <ns0:row r="357" ht="82" customHeight="1">
      <ns0:c r="A357" s="8" t="n">
        <ns0:v>351</ns0:v>
      </ns0:c>
      <ns0:c r="B357" s="8" t="str">
        <ns0:v>Backup &amp; Restore</ns0:v>
      </ns0:c>
      <ns0:c r="C357" s="8" t="str">
        <ns0:v>Workspace</ns0:v>
      </ns0:c>
      <ns0:c r="D357" s="8" t="str">
        <ns0:v>Platform</ns0:v>
      </ns0:c>
      <ns0:c r="E357" s="8" t="str">
        <ns0:v>Local project backup tools.</ns0:v>
      </ns0:c>
      <ns0:c r="F357" s="9" t="str">
        <ns0:f>HYPERLINK("https://physics.aimersociety.com/backup","https://physics.aimersociety.com/backup")</ns0:f>
        <ns0:v>https://physics.aimersociety.com/backup</ns0:v>
      </ns0:c>
      <ns0:c r="G357" s="8" t="str">
        <ns0:v>/backup</ns0:v>
      </ns0:c>
      <ns0:c r="H357" s="8" t="str">
        <ns0:v>src/lib/appDirectory.ts</ns0:v>
      </ns0:c>
      <ns0:c r="I357" s="8" t="str"/>
    </ns0:row>
    <ns0:row r="358" ht="82" customHeight="1">
      <ns0:c r="A358" s="8" t="n">
        <ns0:v>352</ns0:v>
      </ns0:c>
      <ns0:c r="B358" s="8" t="str">
        <ns0:v>Projects</ns0:v>
      </ns0:c>
      <ns0:c r="C358" s="8" t="str">
        <ns0:v>Workspace</ns0:v>
      </ns0:c>
      <ns0:c r="D358" s="8" t="str">
        <ns0:v>Platform</ns0:v>
      </ns0:c>
      <ns0:c r="E358" s="8" t="str">
        <ns0:v>Saved learner work.</ns0:v>
      </ns0:c>
      <ns0:c r="F358" s="9" t="str">
        <ns0:f>HYPERLINK("https://physics.aimersociety.com/projects","https://physics.aimersociety.com/projects")</ns0:f>
        <ns0:v>https://physics.aimersociety.com/projects</ns0:v>
      </ns0:c>
      <ns0:c r="G358" s="8" t="str">
        <ns0:v>/projects</ns0:v>
      </ns0:c>
      <ns0:c r="H358" s="8" t="str">
        <ns0:v>src/lib/appDirectory.ts</ns0:v>
      </ns0:c>
      <ns0:c r="I358" s="8" t="str"/>
    </ns0:row>
    <ns0:row r="359" ht="82" customHeight="1">
      <ns0:c r="A359" s="8" t="n">
        <ns0:v>353</ns0:v>
      </ns0:c>
      <ns0:c r="B359" s="8" t="str">
        <ns0:v>Settings</ns0:v>
      </ns0:c>
      <ns0:c r="C359" s="8" t="str">
        <ns0:v>Workspace</ns0:v>
      </ns0:c>
      <ns0:c r="D359" s="8" t="str">
        <ns0:v>Platform</ns0:v>
      </ns0:c>
      <ns0:c r="E359" s="8" t="str">
        <ns0:v>Application preferences.</ns0:v>
      </ns0:c>
      <ns0:c r="F359" s="9" t="str">
        <ns0:f>HYPERLINK("https://physics.aimersociety.com/settings","https://physics.aimersociety.com/settings")</ns0:f>
        <ns0:v>https://physics.aimersociety.com/settings</ns0:v>
      </ns0:c>
      <ns0:c r="G359" s="8" t="str">
        <ns0:v>/settings</ns0:v>
      </ns0:c>
      <ns0:c r="H359" s="8" t="str">
        <ns0:v>src/lib/appDirectory.ts</ns0:v>
      </ns0:c>
      <ns0:c r="I359" s="8" t="str"/>
    </ns0:row>
    <ns0:row r="360" ht="82" customHeight="1">
      <ns0:c r="A360" s="8" t="n">
        <ns0:v>354</ns0:v>
      </ns0:c>
      <ns0:c r="B360" s="8" t="str">
        <ns0:v>Pro Lab Mission Program</ns0:v>
      </ns0:c>
      <ns0:c r="C360" s="8" t="str">
        <ns0:v>Mission Control</ns0:v>
      </ns0:c>
      <ns0:c r="D360" s="8" t="str">
        <ns0:v>Pro Lab</ns0:v>
      </ns0:c>
      <ns0:c r="E360" s="8" t="str">
        <ns0:v>Six professional scientific operations programs.</ns0:v>
      </ns0:c>
      <ns0:c r="F360" s="9" t="str">
        <ns0:f>HYPERLINK("https://physics.aimersociety.com/pro-lab","https://physics.aimersociety.com/pro-lab")</ns0:f>
        <ns0:v>https://physics.aimersociety.com/pro-lab</ns0:v>
      </ns0:c>
      <ns0:c r="G360" s="8" t="str">
        <ns0:v>/pro-lab</ns0:v>
      </ns0:c>
      <ns0:c r="H360" s="8" t="str">
        <ns0:v>src/lib/appDirectory.ts</ns0:v>
      </ns0:c>
      <ns0:c r="I360" s="8" t="str"/>
    </ns0:row>
    <ns0:row r="361" ht="82" customHeight="1">
      <ns0:c r="A361" s="8" t="n">
        <ns0:v>355</ns0:v>
      </ns0:c>
      <ns0:c r="B361" s="8" t="str">
        <ns0:v>Build &amp; Launch Rocket</ns0:v>
      </ns0:c>
      <ns0:c r="C361" s="8" t="str">
        <ns0:v>Rocket Program</ns0:v>
      </ns0:c>
      <ns0:c r="D361" s="8" t="str">
        <ns0:v>Pro Lab</ns0:v>
      </ns0:c>
      <ns0:c r="E361" s="8" t="str">
        <ns0:v>Integrate, verify, fuel, and launch a virtual vehicle.</ns0:v>
      </ns0:c>
      <ns0:c r="F361" s="9" t="str">
        <ns0:f>HYPERLINK("https://physics.aimersociety.com/pro-lab/launch-vehicle","https://physics.aimersociety.com/pro-lab/launch-vehicle")</ns0:f>
        <ns0:v>https://physics.aimersociety.com/pro-lab/launch-vehicle</ns0:v>
      </ns0:c>
      <ns0:c r="G361" s="8" t="str">
        <ns0:v>/pro-lab/launch-vehicle</ns0:v>
      </ns0:c>
      <ns0:c r="H361" s="8" t="str">
        <ns0:v>src/lib/appDirectory.ts</ns0:v>
      </ns0:c>
      <ns0:c r="I361" s="8" t="str"/>
    </ns0:row>
    <ns0:row r="362" ht="82" customHeight="1">
      <ns0:c r="A362" s="8" t="n">
        <ns0:v>356</ns0:v>
      </ns0:c>
      <ns0:c r="B362" s="8" t="str">
        <ns0:v>Rocket Parts &amp; Systems</ns0:v>
      </ns0:c>
      <ns0:c r="C362" s="8" t="str">
        <ns0:v>Rocket Program</ns0:v>
      </ns0:c>
      <ns0:c r="D362" s="8" t="str">
        <ns0:v>Pro Lab</ns0:v>
      </ns0:c>
      <ns0:c r="E362" s="8" t="str">
        <ns0:v>Search and inspect 225 launch-vehicle components.</ns0:v>
      </ns0:c>
      <ns0:c r="F362" s="9" t="str">
        <ns0:f>HYPERLINK("https://physics.aimersociety.com/rocket-lab/parts","https://physics.aimersociety.com/rocket-lab/parts")</ns0:f>
        <ns0:v>https://physics.aimersociety.com/rocket-lab/parts</ns0:v>
      </ns0:c>
      <ns0:c r="G362" s="8" t="str">
        <ns0:v>/rocket-lab/parts</ns0:v>
      </ns0:c>
      <ns0:c r="H362" s="8" t="str">
        <ns0:v>src/lib/appDirectory.ts</ns0:v>
      </ns0:c>
      <ns0:c r="I362" s="8" t="str"/>
    </ns0:row>
    <ns0:row r="363" ht="82" customHeight="1">
      <ns0:c r="A363" s="8" t="n">
        <ns0:v>357</ns0:v>
      </ns0:c>
      <ns0:c r="B363" s="8" t="str">
        <ns0:v>Aerodynamic Strake</ns0:v>
      </ns0:c>
      <ns0:c r="C363" s="8" t="str">
        <ns0:v>Aerodynamic Control / Aerodynamic Control</ns0:v>
      </ns0:c>
      <ns0:c r="D363" s="8" t="str">
        <ns0:v>Rocket component</ns0:v>
      </ns0:c>
      <ns0:c r="E363" s="8" t="str">
        <ns0:v>Modifies airflow and can improve stability or local aerodynamic performance.</ns0:v>
      </ns0:c>
      <ns0:c r="F363" s="9" t="str">
        <ns0:f>HYPERLINK("https://physics.aimersociety.com/rocket-lab/parts/aerodynamic-strake","https://physics.aimersociety.com/rocket-lab/parts/aerodynamic-strake")</ns0:f>
        <ns0:v>https://physics.aimersociety.com/rocket-lab/parts/aerodynamic-strake</ns0:v>
      </ns0:c>
      <ns0:c r="G363" s="8" t="str">
        <ns0:v>/rocket-lab/parts/aerodynamic-strake</ns0:v>
      </ns0:c>
      <ns0:c r="H363" s="8" t="str">
        <ns0:v>src/data/rocketParts/index.ts</ns0:v>
      </ns0:c>
      <ns0:c r="I363" s="8" t="str"/>
    </ns0:row>
    <ns0:row r="364" ht="82" customHeight="1">
      <ns0:c r="A364" s="8" t="n">
        <ns0:v>358</ns0:v>
      </ns0:c>
      <ns0:c r="B364" s="8" t="str">
        <ns0:v>Base Heat Shield</ns0:v>
      </ns0:c>
      <ns0:c r="C364" s="8" t="str">
        <ns0:v>Aerodynamic Control / Aerodynamic Control</ns0:v>
      </ns0:c>
      <ns0:c r="D364" s="8" t="str">
        <ns0:v>Rocket component</ns0:v>
      </ns0:c>
      <ns0:c r="E364" s="8" t="str">
        <ns0:v>Protects the rear structure from engine plume radiation and aerodynamic heating.</ns0:v>
      </ns0:c>
      <ns0:c r="F364" s="9" t="str">
        <ns0:f>HYPERLINK("https://physics.aimersociety.com/rocket-lab/parts/base-heat-shield","https://physics.aimersociety.com/rocket-lab/parts/base-heat-shield")</ns0:f>
        <ns0:v>https://physics.aimersociety.com/rocket-lab/parts/base-heat-shield</ns0:v>
      </ns0:c>
      <ns0:c r="G364" s="8" t="str">
        <ns0:v>/rocket-lab/parts/base-heat-shield</ns0:v>
      </ns0:c>
      <ns0:c r="H364" s="8" t="str">
        <ns0:v>src/data/rocketParts/index.ts</ns0:v>
      </ns0:c>
      <ns0:c r="I364" s="8" t="str"/>
    </ns0:row>
    <ns0:row r="365" ht="82" customHeight="1">
      <ns0:c r="A365" s="8" t="n">
        <ns0:v>359</ns0:v>
      </ns0:c>
      <ns0:c r="B365" s="8" t="str">
        <ns0:v>Boat Tail</ns0:v>
      </ns0:c>
      <ns0:c r="C365" s="8" t="str">
        <ns0:v>Aerodynamic Control / Aerodynamic Control</ns0:v>
      </ns0:c>
      <ns0:c r="D365" s="8" t="str">
        <ns0:v>Rocket component</ns0:v>
      </ns0:c>
      <ns0:c r="E365" s="8" t="str">
        <ns0:v>Smooths the aerodynamic transition between the body and smaller engine-base region.</ns0:v>
      </ns0:c>
      <ns0:c r="F365" s="9" t="str">
        <ns0:f>HYPERLINK("https://physics.aimersociety.com/rocket-lab/parts/boat-tail","https://physics.aimersociety.com/rocket-lab/parts/boat-tail")</ns0:f>
        <ns0:v>https://physics.aimersociety.com/rocket-lab/parts/boat-tail</ns0:v>
      </ns0:c>
      <ns0:c r="G365" s="8" t="str">
        <ns0:v>/rocket-lab/parts/boat-tail</ns0:v>
      </ns0:c>
      <ns0:c r="H365" s="8" t="str">
        <ns0:v>src/data/rocketParts/index.ts</ns0:v>
      </ns0:c>
      <ns0:c r="I365" s="8" t="str"/>
    </ns0:row>
    <ns0:row r="366" ht="82" customHeight="1">
      <ns0:c r="A366" s="8" t="n">
        <ns0:v>360</ns0:v>
      </ns0:c>
      <ns0:c r="B366" s="8" t="str">
        <ns0:v>Canard</ns0:v>
      </ns0:c>
      <ns0:c r="C366" s="8" t="str">
        <ns0:v>Aerodynamic Control / Aerodynamic Control</ns0:v>
      </ns0:c>
      <ns0:c r="D366" s="8" t="str">
        <ns0:v>Rocket component</ns0:v>
      </ns0:c>
      <ns0:c r="E366" s="8" t="str">
        <ns0:v>Provides aerodynamic control from a forward position on the vehicle.</ns0:v>
      </ns0:c>
      <ns0:c r="F366" s="9" t="str">
        <ns0:f>HYPERLINK("https://physics.aimersociety.com/rocket-lab/parts/canard","https://physics.aimersociety.com/rocket-lab/parts/canard")</ns0:f>
        <ns0:v>https://physics.aimersociety.com/rocket-lab/parts/canard</ns0:v>
      </ns0:c>
      <ns0:c r="G366" s="8" t="str">
        <ns0:v>/rocket-lab/parts/canard</ns0:v>
      </ns0:c>
      <ns0:c r="H366" s="8" t="str">
        <ns0:v>src/data/rocketParts/index.ts</ns0:v>
      </ns0:c>
      <ns0:c r="I366" s="8" t="str"/>
    </ns0:row>
    <ns0:row r="367" ht="82" customHeight="1">
      <ns0:c r="A367" s="8" t="n">
        <ns0:v>361</ns0:v>
      </ns0:c>
      <ns0:c r="B367" s="8" t="str">
        <ns0:v>Fin Actuator</ns0:v>
      </ns0:c>
      <ns0:c r="C367" s="8" t="str">
        <ns0:v>Aerodynamic Control / Aerodynamic Control</ns0:v>
      </ns0:c>
      <ns0:c r="D367" s="8" t="str">
        <ns0:v>Rocket component</ns0:v>
      </ns0:c>
      <ns0:c r="E367" s="8" t="str">
        <ns0:v>Rotates a movable fin according to flight-control commands.</ns0:v>
      </ns0:c>
      <ns0:c r="F367" s="9" t="str">
        <ns0:f>HYPERLINK("https://physics.aimersociety.com/rocket-lab/parts/fin-actuator","https://physics.aimersociety.com/rocket-lab/parts/fin-actuator")</ns0:f>
        <ns0:v>https://physics.aimersociety.com/rocket-lab/parts/fin-actuator</ns0:v>
      </ns0:c>
      <ns0:c r="G367" s="8" t="str">
        <ns0:v>/rocket-lab/parts/fin-actuator</ns0:v>
      </ns0:c>
      <ns0:c r="H367" s="8" t="str">
        <ns0:v>src/data/rocketParts/index.ts</ns0:v>
      </ns0:c>
      <ns0:c r="I367" s="8" t="str"/>
    </ns0:row>
    <ns0:row r="368" ht="82" customHeight="1">
      <ns0:c r="A368" s="8" t="n">
        <ns0:v>362</ns0:v>
      </ns0:c>
      <ns0:c r="B368" s="8" t="str">
        <ns0:v>Fin Root</ns0:v>
      </ns0:c>
      <ns0:c r="C368" s="8" t="str">
        <ns0:v>Aerodynamic Control / Aerodynamic Control</ns0:v>
      </ns0:c>
      <ns0:c r="D368" s="8" t="str">
        <ns0:v>Rocket component</ns0:v>
      </ns0:c>
      <ns0:c r="E368" s="8" t="str">
        <ns0:v>Transfers fin loads into the airframe.</ns0:v>
      </ns0:c>
      <ns0:c r="F368" s="9" t="str">
        <ns0:f>HYPERLINK("https://physics.aimersociety.com/rocket-lab/parts/fin-root","https://physics.aimersociety.com/rocket-lab/parts/fin-root")</ns0:f>
        <ns0:v>https://physics.aimersociety.com/rocket-lab/parts/fin-root</ns0:v>
      </ns0:c>
      <ns0:c r="G368" s="8" t="str">
        <ns0:v>/rocket-lab/parts/fin-root</ns0:v>
      </ns0:c>
      <ns0:c r="H368" s="8" t="str">
        <ns0:v>src/data/rocketParts/index.ts</ns0:v>
      </ns0:c>
      <ns0:c r="I368" s="8" t="str"/>
    </ns0:row>
    <ns0:row r="369" ht="82" customHeight="1">
      <ns0:c r="A369" s="8" t="n">
        <ns0:v>363</ns0:v>
      </ns0:c>
      <ns0:c r="B369" s="8" t="str">
        <ns0:v>Fixed Fin</ns0:v>
      </ns0:c>
      <ns0:c r="C369" s="8" t="str">
        <ns0:v>Aerodynamic Control / Aerodynamic Control</ns0:v>
      </ns0:c>
      <ns0:c r="D369" s="8" t="str">
        <ns0:v>Rocket component</ns0:v>
      </ns0:c>
      <ns0:c r="E369" s="8" t="str">
        <ns0:v>Provides passive aerodynamic stability during atmospheric flight.</ns0:v>
      </ns0:c>
      <ns0:c r="F369" s="9" t="str">
        <ns0:f>HYPERLINK("https://physics.aimersociety.com/rocket-lab/parts/fixed-fin","https://physics.aimersociety.com/rocket-lab/parts/fixed-fin")</ns0:f>
        <ns0:v>https://physics.aimersociety.com/rocket-lab/parts/fixed-fin</ns0:v>
      </ns0:c>
      <ns0:c r="G369" s="8" t="str">
        <ns0:v>/rocket-lab/parts/fixed-fin</ns0:v>
      </ns0:c>
      <ns0:c r="H369" s="8" t="str">
        <ns0:v>src/data/rocketParts/index.ts</ns0:v>
      </ns0:c>
      <ns0:c r="I369" s="8" t="str"/>
    </ns0:row>
    <ns0:row r="370" ht="82" customHeight="1">
      <ns0:c r="A370" s="8" t="n">
        <ns0:v>364</ns0:v>
      </ns0:c>
      <ns0:c r="B370" s="8" t="str">
        <ns0:v>Grid Fin</ns0:v>
      </ns0:c>
      <ns0:c r="C370" s="8" t="str">
        <ns0:v>Aerodynamic Control / Aerodynamic Control</ns0:v>
      </ns0:c>
      <ns0:c r="D370" s="8" t="str">
        <ns0:v>Rocket component</ns0:v>
      </ns0:c>
      <ns0:c r="E370" s="8" t="str">
        <ns0:v>Produces controllable aerodynamic forces while remaining compact when folded.</ns0:v>
      </ns0:c>
      <ns0:c r="F370" s="9" t="str">
        <ns0:f>HYPERLINK("https://physics.aimersociety.com/rocket-lab/parts/grid-fin","https://physics.aimersociety.com/rocket-lab/parts/grid-fin")</ns0:f>
        <ns0:v>https://physics.aimersociety.com/rocket-lab/parts/grid-fin</ns0:v>
      </ns0:c>
      <ns0:c r="G370" s="8" t="str">
        <ns0:v>/rocket-lab/parts/grid-fin</ns0:v>
      </ns0:c>
      <ns0:c r="H370" s="8" t="str">
        <ns0:v>src/data/rocketParts/index.ts</ns0:v>
      </ns0:c>
      <ns0:c r="I370" s="8" t="str"/>
    </ns0:row>
    <ns0:row r="371" ht="82" customHeight="1">
      <ns0:c r="A371" s="8" t="n">
        <ns0:v>365</ns0:v>
      </ns0:c>
      <ns0:c r="B371" s="8" t="str">
        <ns0:v>Movable Fin</ns0:v>
      </ns0:c>
      <ns0:c r="C371" s="8" t="str">
        <ns0:v>Aerodynamic Control / Aerodynamic Control</ns0:v>
      </ns0:c>
      <ns0:c r="D371" s="8" t="str">
        <ns0:v>Rocket component</ns0:v>
      </ns0:c>
      <ns0:c r="E371" s="8" t="str">
        <ns0:v>Changes aerodynamic forces to help control vehicle attitude.</ns0:v>
      </ns0:c>
      <ns0:c r="F371" s="9" t="str">
        <ns0:f>HYPERLINK("https://physics.aimersociety.com/rocket-lab/parts/movable-fin","https://physics.aimersociety.com/rocket-lab/parts/movable-fin")</ns0:f>
        <ns0:v>https://physics.aimersociety.com/rocket-lab/parts/movable-fin</ns0:v>
      </ns0:c>
      <ns0:c r="G371" s="8" t="str">
        <ns0:v>/rocket-lab/parts/movable-fin</ns0:v>
      </ns0:c>
      <ns0:c r="H371" s="8" t="str">
        <ns0:v>src/data/rocketParts/index.ts</ns0:v>
      </ns0:c>
      <ns0:c r="I371" s="8" t="str"/>
    </ns0:row>
    <ns0:row r="372" ht="82" customHeight="1">
      <ns0:c r="A372" s="8" t="n">
        <ns0:v>366</ns0:v>
      </ns0:c>
      <ns0:c r="B372" s="8" t="str">
        <ns0:v>Avionics Bay</ns0:v>
      </ns0:c>
      <ns0:c r="C372" s="8" t="str">
        <ns0:v>Avionics / Avionics</ns0:v>
      </ns0:c>
      <ns0:c r="D372" s="8" t="str">
        <ns0:v>Rocket component</ns0:v>
      </ns0:c>
      <ns0:c r="E372" s="8" t="str">
        <ns0:v>Houses protected electronic equipment and associated interfaces.</ns0:v>
      </ns0:c>
      <ns0:c r="F372" s="9" t="str">
        <ns0:f>HYPERLINK("https://physics.aimersociety.com/rocket-lab/parts/avionics-bay","https://physics.aimersociety.com/rocket-lab/parts/avionics-bay")</ns0:f>
        <ns0:v>https://physics.aimersociety.com/rocket-lab/parts/avionics-bay</ns0:v>
      </ns0:c>
      <ns0:c r="G372" s="8" t="str">
        <ns0:v>/rocket-lab/parts/avionics-bay</ns0:v>
      </ns0:c>
      <ns0:c r="H372" s="8" t="str">
        <ns0:v>src/data/rocketParts/index.ts</ns0:v>
      </ns0:c>
      <ns0:c r="I372" s="8" t="str"/>
    </ns0:row>
    <ns0:row r="373" ht="82" customHeight="1">
      <ns0:c r="A373" s="8" t="n">
        <ns0:v>367</ns0:v>
      </ns0:c>
      <ns0:c r="B373" s="8" t="str">
        <ns0:v>Connector</ns0:v>
      </ns0:c>
      <ns0:c r="C373" s="8" t="str">
        <ns0:v>Avionics / Avionics</ns0:v>
      </ns0:c>
      <ns0:c r="D373" s="8" t="str">
        <ns0:v>Rocket component</ns0:v>
      </ns0:c>
      <ns0:c r="E373" s="8" t="str">
        <ns0:v>Provides removable electrical or data interfaces.</ns0:v>
      </ns0:c>
      <ns0:c r="F373" s="9" t="str">
        <ns0:f>HYPERLINK("https://physics.aimersociety.com/rocket-lab/parts/connector","https://physics.aimersociety.com/rocket-lab/parts/connector")</ns0:f>
        <ns0:v>https://physics.aimersociety.com/rocket-lab/parts/connector</ns0:v>
      </ns0:c>
      <ns0:c r="G373" s="8" t="str">
        <ns0:v>/rocket-lab/parts/connector</ns0:v>
      </ns0:c>
      <ns0:c r="H373" s="8" t="str">
        <ns0:v>src/data/rocketParts/index.ts</ns0:v>
      </ns0:c>
      <ns0:c r="I373" s="8" t="str"/>
    </ns0:row>
    <ns0:row r="374" ht="82" customHeight="1">
      <ns0:c r="A374" s="8" t="n">
        <ns0:v>368</ns0:v>
      </ns0:c>
      <ns0:c r="B374" s="8" t="str">
        <ns0:v>Data Acquisition Unit</ns0:v>
      </ns0:c>
      <ns0:c r="C374" s="8" t="str">
        <ns0:v>Avionics / Avionics</ns0:v>
      </ns0:c>
      <ns0:c r="D374" s="8" t="str">
        <ns0:v>Rocket component</ns0:v>
      </ns0:c>
      <ns0:c r="E374" s="8" t="str">
        <ns0:v>Collects and digitizes measurements from sensors.</ns0:v>
      </ns0:c>
      <ns0:c r="F374" s="9" t="str">
        <ns0:f>HYPERLINK("https://physics.aimersociety.com/rocket-lab/parts/data-acquisition-unit","https://physics.aimersociety.com/rocket-lab/parts/data-acquisition-unit")</ns0:f>
        <ns0:v>https://physics.aimersociety.com/rocket-lab/parts/data-acquisition-unit</ns0:v>
      </ns0:c>
      <ns0:c r="G374" s="8" t="str">
        <ns0:v>/rocket-lab/parts/data-acquisition-unit</ns0:v>
      </ns0:c>
      <ns0:c r="H374" s="8" t="str">
        <ns0:v>src/data/rocketParts/index.ts</ns0:v>
      </ns0:c>
      <ns0:c r="I374" s="8" t="str"/>
    </ns0:row>
    <ns0:row r="375" ht="82" customHeight="1">
      <ns0:c r="A375" s="8" t="n">
        <ns0:v>369</ns0:v>
      </ns0:c>
      <ns0:c r="B375" s="8" t="str">
        <ns0:v>Data Bus</ns0:v>
      </ns0:c>
      <ns0:c r="C375" s="8" t="str">
        <ns0:v>Avionics / Avionics</ns0:v>
      </ns0:c>
      <ns0:c r="D375" s="8" t="str">
        <ns0:v>Rocket component</ns0:v>
      </ns0:c>
      <ns0:c r="E375" s="8" t="str">
        <ns0:v>Transfers commands, measurements, and status information among avionics units.</ns0:v>
      </ns0:c>
      <ns0:c r="F375" s="9" t="str">
        <ns0:f>HYPERLINK("https://physics.aimersociety.com/rocket-lab/parts/data-bus","https://physics.aimersociety.com/rocket-lab/parts/data-bus")</ns0:f>
        <ns0:v>https://physics.aimersociety.com/rocket-lab/parts/data-bus</ns0:v>
      </ns0:c>
      <ns0:c r="G375" s="8" t="str">
        <ns0:v>/rocket-lab/parts/data-bus</ns0:v>
      </ns0:c>
      <ns0:c r="H375" s="8" t="str">
        <ns0:v>src/data/rocketParts/index.ts</ns0:v>
      </ns0:c>
      <ns0:c r="I375" s="8" t="str"/>
    </ns0:row>
    <ns0:row r="376" ht="82" customHeight="1">
      <ns0:c r="A376" s="8" t="n">
        <ns0:v>370</ns0:v>
      </ns0:c>
      <ns0:c r="B376" s="8" t="str">
        <ns0:v>Flight Computer</ns0:v>
      </ns0:c>
      <ns0:c r="C376" s="8" t="str">
        <ns0:v>Avionics / Avionics</ns0:v>
      </ns0:c>
      <ns0:c r="D376" s="8" t="str">
        <ns0:v>Rocket component</ns0:v>
      </ns0:c>
      <ns0:c r="E376" s="8" t="str">
        <ns0:v>Executes guidance, navigation, control, sequencing, monitoring, and mission logic.</ns0:v>
      </ns0:c>
      <ns0:c r="F376" s="9" t="str">
        <ns0:f>HYPERLINK("https://physics.aimersociety.com/rocket-lab/parts/flight-computer","https://physics.aimersociety.com/rocket-lab/parts/flight-computer")</ns0:f>
        <ns0:v>https://physics.aimersociety.com/rocket-lab/parts/flight-computer</ns0:v>
      </ns0:c>
      <ns0:c r="G376" s="8" t="str">
        <ns0:v>/rocket-lab/parts/flight-computer</ns0:v>
      </ns0:c>
      <ns0:c r="H376" s="8" t="str">
        <ns0:v>src/data/rocketParts/index.ts</ns0:v>
      </ns0:c>
      <ns0:c r="I376" s="8" t="str"/>
    </ns0:row>
    <ns0:row r="377" ht="82" customHeight="1">
      <ns0:c r="A377" s="8" t="n">
        <ns0:v>371</ns0:v>
      </ns0:c>
      <ns0:c r="B377" s="8" t="str">
        <ns0:v>Flight Software</ns0:v>
      </ns0:c>
      <ns0:c r="C377" s="8" t="str">
        <ns0:v>Avionics / Avionics</ns0:v>
      </ns0:c>
      <ns0:c r="D377" s="8" t="str">
        <ns0:v>Rocket component</ns0:v>
      </ns0:c>
      <ns0:c r="E377" s="8" t="str">
        <ns0:v>Implements onboard control, sequencing, fault management, and mission logic.</ns0:v>
      </ns0:c>
      <ns0:c r="F377" s="9" t="str">
        <ns0:f>HYPERLINK("https://physics.aimersociety.com/rocket-lab/parts/flight-software","https://physics.aimersociety.com/rocket-lab/parts/flight-software")</ns0:f>
        <ns0:v>https://physics.aimersociety.com/rocket-lab/parts/flight-software</ns0:v>
      </ns0:c>
      <ns0:c r="G377" s="8" t="str">
        <ns0:v>/rocket-lab/parts/flight-software</ns0:v>
      </ns0:c>
      <ns0:c r="H377" s="8" t="str">
        <ns0:v>src/data/rocketParts/index.ts</ns0:v>
      </ns0:c>
      <ns0:c r="I377" s="8" t="str"/>
    </ns0:row>
    <ns0:row r="378" ht="82" customHeight="1">
      <ns0:c r="A378" s="8" t="n">
        <ns0:v>372</ns0:v>
      </ns0:c>
      <ns0:c r="B378" s="8" t="str">
        <ns0:v>Health-Monitoring Computer</ns0:v>
      </ns0:c>
      <ns0:c r="C378" s="8" t="str">
        <ns0:v>Avionics / Avionics</ns0:v>
      </ns0:c>
      <ns0:c r="D378" s="8" t="str">
        <ns0:v>Rocket component</ns0:v>
      </ns0:c>
      <ns0:c r="E378" s="8" t="str">
        <ns0:v>Detects abnormal conditions using sensor and subsystem data.</ns0:v>
      </ns0:c>
      <ns0:c r="F378" s="9" t="str">
        <ns0:f>HYPERLINK("https://physics.aimersociety.com/rocket-lab/parts/health-monitoring-computer","https://physics.aimersociety.com/rocket-lab/parts/health-monitoring-computer")</ns0:f>
        <ns0:v>https://physics.aimersociety.com/rocket-lab/parts/health-monitoring-computer</ns0:v>
      </ns0:c>
      <ns0:c r="G378" s="8" t="str">
        <ns0:v>/rocket-lab/parts/health-monitoring-computer</ns0:v>
      </ns0:c>
      <ns0:c r="H378" s="8" t="str">
        <ns0:v>src/data/rocketParts/index.ts</ns0:v>
      </ns0:c>
      <ns0:c r="I378" s="8" t="str"/>
    </ns0:row>
    <ns0:row r="379" ht="82" customHeight="1">
      <ns0:c r="A379" s="8" t="n">
        <ns0:v>373</ns0:v>
      </ns0:c>
      <ns0:c r="B379" s="8" t="str">
        <ns0:v>Mission Sequencer</ns0:v>
      </ns0:c>
      <ns0:c r="C379" s="8" t="str">
        <ns0:v>Avionics / Avionics</ns0:v>
      </ns0:c>
      <ns0:c r="D379" s="8" t="str">
        <ns0:v>Rocket component</ns0:v>
      </ns0:c>
      <ns0:c r="E379" s="8" t="str">
        <ns0:v>Triggers events such as engine ignition, release, staging, fairing separation, and payload deployment.</ns0:v>
      </ns0:c>
      <ns0:c r="F379" s="9" t="str">
        <ns0:f>HYPERLINK("https://physics.aimersociety.com/rocket-lab/parts/mission-sequencer","https://physics.aimersociety.com/rocket-lab/parts/mission-sequencer")</ns0:f>
        <ns0:v>https://physics.aimersociety.com/rocket-lab/parts/mission-sequencer</ns0:v>
      </ns0:c>
      <ns0:c r="G379" s="8" t="str">
        <ns0:v>/rocket-lab/parts/mission-sequencer</ns0:v>
      </ns0:c>
      <ns0:c r="H379" s="8" t="str">
        <ns0:v>src/data/rocketParts/index.ts</ns0:v>
      </ns0:c>
      <ns0:c r="I379" s="8" t="str"/>
    </ns0:row>
    <ns0:row r="380" ht="82" customHeight="1">
      <ns0:c r="A380" s="8" t="n">
        <ns0:v>374</ns0:v>
      </ns0:c>
      <ns0:c r="B380" s="8" t="str">
        <ns0:v>Redundant Flight Computer</ns0:v>
      </ns0:c>
      <ns0:c r="C380" s="8" t="str">
        <ns0:v>Avionics / Avionics</ns0:v>
      </ns0:c>
      <ns0:c r="D380" s="8" t="str">
        <ns0:v>Rocket component</ns0:v>
      </ns0:c>
      <ns0:c r="E380" s="8" t="str">
        <ns0:v>Provides fault tolerance if the primary computing channel fails.</ns0:v>
      </ns0:c>
      <ns0:c r="F380" s="9" t="str">
        <ns0:f>HYPERLINK("https://physics.aimersociety.com/rocket-lab/parts/redundant-flight-computer","https://physics.aimersociety.com/rocket-lab/parts/redundant-flight-computer")</ns0:f>
        <ns0:v>https://physics.aimersociety.com/rocket-lab/parts/redundant-flight-computer</ns0:v>
      </ns0:c>
      <ns0:c r="G380" s="8" t="str">
        <ns0:v>/rocket-lab/parts/redundant-flight-computer</ns0:v>
      </ns0:c>
      <ns0:c r="H380" s="8" t="str">
        <ns0:v>src/data/rocketParts/index.ts</ns0:v>
      </ns0:c>
      <ns0:c r="I380" s="8" t="str"/>
    </ns0:row>
    <ns0:row r="381" ht="82" customHeight="1">
      <ns0:c r="A381" s="8" t="n">
        <ns0:v>375</ns0:v>
      </ns0:c>
      <ns0:c r="B381" s="8" t="str">
        <ns0:v>Remote Input/Output Unit</ns0:v>
      </ns0:c>
      <ns0:c r="C381" s="8" t="str">
        <ns0:v>Avionics / Avionics</ns0:v>
      </ns0:c>
      <ns0:c r="D381" s="8" t="str">
        <ns0:v>Rocket component</ns0:v>
      </ns0:c>
      <ns0:c r="E381" s="8" t="str">
        <ns0:v>Connects distributed sensors and actuators to the main avionics system.</ns0:v>
      </ns0:c>
      <ns0:c r="F381" s="9" t="str">
        <ns0:f>HYPERLINK("https://physics.aimersociety.com/rocket-lab/parts/remote-input-output-unit","https://physics.aimersociety.com/rocket-lab/parts/remote-input-output-unit")</ns0:f>
        <ns0:v>https://physics.aimersociety.com/rocket-lab/parts/remote-input-output-unit</ns0:v>
      </ns0:c>
      <ns0:c r="G381" s="8" t="str">
        <ns0:v>/rocket-lab/parts/remote-input-output-unit</ns0:v>
      </ns0:c>
      <ns0:c r="H381" s="8" t="str">
        <ns0:v>src/data/rocketParts/index.ts</ns0:v>
      </ns0:c>
      <ns0:c r="I381" s="8" t="str"/>
    </ns0:row>
    <ns0:row r="382" ht="82" customHeight="1">
      <ns0:c r="A382" s="8" t="n">
        <ns0:v>376</ns0:v>
      </ns0:c>
      <ns0:c r="B382" s="8" t="str">
        <ns0:v>Signal-Conditioning Unit</ns0:v>
      </ns0:c>
      <ns0:c r="C382" s="8" t="str">
        <ns0:v>Avionics / Avionics</ns0:v>
      </ns0:c>
      <ns0:c r="D382" s="8" t="str">
        <ns0:v>Rocket component</ns0:v>
      </ns0:c>
      <ns0:c r="E382" s="8" t="str">
        <ns0:v>Filters, scales, isolates, or converts sensor signals before processing.</ns0:v>
      </ns0:c>
      <ns0:c r="F382" s="9" t="str">
        <ns0:f>HYPERLINK("https://physics.aimersociety.com/rocket-lab/parts/signal-conditioning-unit","https://physics.aimersociety.com/rocket-lab/parts/signal-conditioning-unit")</ns0:f>
        <ns0:v>https://physics.aimersociety.com/rocket-lab/parts/signal-conditioning-unit</ns0:v>
      </ns0:c>
      <ns0:c r="G382" s="8" t="str">
        <ns0:v>/rocket-lab/parts/signal-conditioning-unit</ns0:v>
      </ns0:c>
      <ns0:c r="H382" s="8" t="str">
        <ns0:v>src/data/rocketParts/index.ts</ns0:v>
      </ns0:c>
      <ns0:c r="I382" s="8" t="str"/>
    </ns0:row>
    <ns0:row r="383" ht="82" customHeight="1">
      <ns0:c r="A383" s="8" t="n">
        <ns0:v>377</ns0:v>
      </ns0:c>
      <ns0:c r="B383" s="8" t="str">
        <ns0:v>Time Base</ns0:v>
      </ns0:c>
      <ns0:c r="C383" s="8" t="str">
        <ns0:v>Avionics / Avionics</ns0:v>
      </ns0:c>
      <ns0:c r="D383" s="8" t="str">
        <ns0:v>Rocket component</ns0:v>
      </ns0:c>
      <ns0:c r="E383" s="8" t="str">
        <ns0:v>Provides synchronized mission timing for onboard events and telemetry.</ns0:v>
      </ns0:c>
      <ns0:c r="F383" s="9" t="str">
        <ns0:f>HYPERLINK("https://physics.aimersociety.com/rocket-lab/parts/time-base","https://physics.aimersociety.com/rocket-lab/parts/time-base")</ns0:f>
        <ns0:v>https://physics.aimersociety.com/rocket-lab/parts/time-base</ns0:v>
      </ns0:c>
      <ns0:c r="G383" s="8" t="str">
        <ns0:v>/rocket-lab/parts/time-base</ns0:v>
      </ns0:c>
      <ns0:c r="H383" s="8" t="str">
        <ns0:v>src/data/rocketParts/index.ts</ns0:v>
      </ns0:c>
      <ns0:c r="I383" s="8" t="str"/>
    </ns0:row>
    <ns0:row r="384" ht="82" customHeight="1">
      <ns0:c r="A384" s="8" t="n">
        <ns0:v>378</ns0:v>
      </ns0:c>
      <ns0:c r="B384" s="8" t="str">
        <ns0:v>Wiring Harness</ns0:v>
      </ns0:c>
      <ns0:c r="C384" s="8" t="str">
        <ns0:v>Avionics / Avionics</ns0:v>
      </ns0:c>
      <ns0:c r="D384" s="8" t="str">
        <ns0:v>Rocket component</ns0:v>
      </ns0:c>
      <ns0:c r="E384" s="8" t="str">
        <ns0:v>Routes electrical power, commands, and sensor signals.</ns0:v>
      </ns0:c>
      <ns0:c r="F384" s="9" t="str">
        <ns0:f>HYPERLINK("https://physics.aimersociety.com/rocket-lab/parts/wiring-harness","https://physics.aimersociety.com/rocket-lab/parts/wiring-harness")</ns0:f>
        <ns0:v>https://physics.aimersociety.com/rocket-lab/parts/wiring-harness</ns0:v>
      </ns0:c>
      <ns0:c r="G384" s="8" t="str">
        <ns0:v>/rocket-lab/parts/wiring-harness</ns0:v>
      </ns0:c>
      <ns0:c r="H384" s="8" t="str">
        <ns0:v>src/data/rocketParts/index.ts</ns0:v>
      </ns0:c>
      <ns0:c r="I384" s="8" t="str"/>
    </ns0:row>
    <ns0:row r="385" ht="82" customHeight="1">
      <ns0:c r="A385" s="8" t="n">
        <ns0:v>379</ns0:v>
      </ns0:c>
      <ns0:c r="B385" s="8" t="str">
        <ns0:v>Camera System</ns0:v>
      </ns0:c>
      <ns0:c r="C385" s="8" t="str">
        <ns0:v>Communications &amp; Telemetry / Communications &amp; Telemetry</ns0:v>
      </ns0:c>
      <ns0:c r="D385" s="8" t="str">
        <ns0:v>Rocket component</ns0:v>
      </ns0:c>
      <ns0:c r="E385" s="8" t="str">
        <ns0:v>Records internal or external mission events.</ns0:v>
      </ns0:c>
      <ns0:c r="F385" s="9" t="str">
        <ns0:f>HYPERLINK("https://physics.aimersociety.com/rocket-lab/parts/camera-system","https://physics.aimersociety.com/rocket-lab/parts/camera-system")</ns0:f>
        <ns0:v>https://physics.aimersociety.com/rocket-lab/parts/camera-system</ns0:v>
      </ns0:c>
      <ns0:c r="G385" s="8" t="str">
        <ns0:v>/rocket-lab/parts/camera-system</ns0:v>
      </ns0:c>
      <ns0:c r="H385" s="8" t="str">
        <ns0:v>src/data/rocketParts/index.ts</ns0:v>
      </ns0:c>
      <ns0:c r="I385" s="8" t="str"/>
    </ns0:row>
    <ns0:row r="386" ht="82" customHeight="1">
      <ns0:c r="A386" s="8" t="n">
        <ns0:v>380</ns0:v>
      </ns0:c>
      <ns0:c r="B386" s="8" t="str">
        <ns0:v>Command Receiver</ns0:v>
      </ns0:c>
      <ns0:c r="C386" s="8" t="str">
        <ns0:v>Communications &amp; Telemetry / Communications &amp; Telemetry</ns0:v>
      </ns0:c>
      <ns0:c r="D386" s="8" t="str">
        <ns0:v>Rocket component</ns0:v>
      </ns0:c>
      <ns0:c r="E386" s="8" t="str">
        <ns0:v>Receives authorized ground commands.</ns0:v>
      </ns0:c>
      <ns0:c r="F386" s="9" t="str">
        <ns0:f>HYPERLINK("https://physics.aimersociety.com/rocket-lab/parts/command-receiver","https://physics.aimersociety.com/rocket-lab/parts/command-receiver")</ns0:f>
        <ns0:v>https://physics.aimersociety.com/rocket-lab/parts/command-receiver</ns0:v>
      </ns0:c>
      <ns0:c r="G386" s="8" t="str">
        <ns0:v>/rocket-lab/parts/command-receiver</ns0:v>
      </ns0:c>
      <ns0:c r="H386" s="8" t="str">
        <ns0:v>src/data/rocketParts/index.ts</ns0:v>
      </ns0:c>
      <ns0:c r="I386" s="8" t="str"/>
    </ns0:row>
    <ns0:row r="387" ht="82" customHeight="1">
      <ns0:c r="A387" s="8" t="n">
        <ns0:v>381</ns0:v>
      </ns0:c>
      <ns0:c r="B387" s="8" t="str">
        <ns0:v>Communication Antenna</ns0:v>
      </ns0:c>
      <ns0:c r="C387" s="8" t="str">
        <ns0:v>Communications &amp; Telemetry / Communications &amp; Telemetry</ns0:v>
      </ns0:c>
      <ns0:c r="D387" s="8" t="str">
        <ns0:v>Rocket component</ns0:v>
      </ns0:c>
      <ns0:c r="E387" s="8" t="str">
        <ns0:v>Supports command, telemetry, tracking, or payload communications.</ns0:v>
      </ns0:c>
      <ns0:c r="F387" s="9" t="str">
        <ns0:f>HYPERLINK("https://physics.aimersociety.com/rocket-lab/parts/communication-antenna","https://physics.aimersociety.com/rocket-lab/parts/communication-antenna")</ns0:f>
        <ns0:v>https://physics.aimersociety.com/rocket-lab/parts/communication-antenna</ns0:v>
      </ns0:c>
      <ns0:c r="G387" s="8" t="str">
        <ns0:v>/rocket-lab/parts/communication-antenna</ns0:v>
      </ns0:c>
      <ns0:c r="H387" s="8" t="str">
        <ns0:v>src/data/rocketParts/index.ts</ns0:v>
      </ns0:c>
      <ns0:c r="I387" s="8" t="str"/>
    </ns0:row>
    <ns0:row r="388" ht="82" customHeight="1">
      <ns0:c r="A388" s="8" t="n">
        <ns0:v>382</ns0:v>
      </ns0:c>
      <ns0:c r="B388" s="8" t="str">
        <ns0:v>GPS Antenna</ns0:v>
      </ns0:c>
      <ns0:c r="C388" s="8" t="str">
        <ns0:v>Communications &amp; Telemetry / Communications &amp; Telemetry</ns0:v>
      </ns0:c>
      <ns0:c r="D388" s="8" t="str">
        <ns0:v>Rocket component</ns0:v>
      </ns0:c>
      <ns0:c r="E388" s="8" t="str">
        <ns0:v>Receives satellite-navigation signals.</ns0:v>
      </ns0:c>
      <ns0:c r="F388" s="9" t="str">
        <ns0:f>HYPERLINK("https://physics.aimersociety.com/rocket-lab/parts/gps-antenna","https://physics.aimersociety.com/rocket-lab/parts/gps-antenna")</ns0:f>
        <ns0:v>https://physics.aimersociety.com/rocket-lab/parts/gps-antenna</ns0:v>
      </ns0:c>
      <ns0:c r="G388" s="8" t="str">
        <ns0:v>/rocket-lab/parts/gps-antenna</ns0:v>
      </ns0:c>
      <ns0:c r="H388" s="8" t="str">
        <ns0:v>src/data/rocketParts/index.ts</ns0:v>
      </ns0:c>
      <ns0:c r="I388" s="8" t="str"/>
    </ns0:row>
    <ns0:row r="389" ht="82" customHeight="1">
      <ns0:c r="A389" s="8" t="n">
        <ns0:v>383</ns0:v>
      </ns0:c>
      <ns0:c r="B389" s="8" t="str">
        <ns0:v>Onboard Data Recorder</ns0:v>
      </ns0:c>
      <ns0:c r="C389" s="8" t="str">
        <ns0:v>Communications &amp; Telemetry / Communications &amp; Telemetry</ns0:v>
      </ns0:c>
      <ns0:c r="D389" s="8" t="str">
        <ns0:v>Rocket component</ns0:v>
      </ns0:c>
      <ns0:c r="E389" s="8" t="str">
        <ns0:v>Stores flight data for later recovery and analysis.</ns0:v>
      </ns0:c>
      <ns0:c r="F389" s="9" t="str">
        <ns0:f>HYPERLINK("https://physics.aimersociety.com/rocket-lab/parts/onboard-data-recorder","https://physics.aimersociety.com/rocket-lab/parts/onboard-data-recorder")</ns0:f>
        <ns0:v>https://physics.aimersociety.com/rocket-lab/parts/onboard-data-recorder</ns0:v>
      </ns0:c>
      <ns0:c r="G389" s="8" t="str">
        <ns0:v>/rocket-lab/parts/onboard-data-recorder</ns0:v>
      </ns0:c>
      <ns0:c r="H389" s="8" t="str">
        <ns0:v>src/data/rocketParts/index.ts</ns0:v>
      </ns0:c>
      <ns0:c r="I389" s="8" t="str"/>
    </ns0:row>
    <ns0:row r="390" ht="82" customHeight="1">
      <ns0:c r="A390" s="8" t="n">
        <ns0:v>384</ns0:v>
      </ns0:c>
      <ns0:c r="B390" s="8" t="str">
        <ns0:v>Radio-Frequency Amplifier</ns0:v>
      </ns0:c>
      <ns0:c r="C390" s="8" t="str">
        <ns0:v>Communications &amp; Telemetry / Communications &amp; Telemetry</ns0:v>
      </ns0:c>
      <ns0:c r="D390" s="8" t="str">
        <ns0:v>Rocket component</ns0:v>
      </ns0:c>
      <ns0:c r="E390" s="8" t="str">
        <ns0:v>Increases signal power before transmission.</ns0:v>
      </ns0:c>
      <ns0:c r="F390" s="9" t="str">
        <ns0:f>HYPERLINK("https://physics.aimersociety.com/rocket-lab/parts/radio-frequency-amplifier","https://physics.aimersociety.com/rocket-lab/parts/radio-frequency-amplifier")</ns0:f>
        <ns0:v>https://physics.aimersociety.com/rocket-lab/parts/radio-frequency-amplifier</ns0:v>
      </ns0:c>
      <ns0:c r="G390" s="8" t="str">
        <ns0:v>/rocket-lab/parts/radio-frequency-amplifier</ns0:v>
      </ns0:c>
      <ns0:c r="H390" s="8" t="str">
        <ns0:v>src/data/rocketParts/index.ts</ns0:v>
      </ns0:c>
      <ns0:c r="I390" s="8" t="str"/>
    </ns0:row>
    <ns0:row r="391" ht="82" customHeight="1">
      <ns0:c r="A391" s="8" t="n">
        <ns0:v>385</ns0:v>
      </ns0:c>
      <ns0:c r="B391" s="8" t="str">
        <ns0:v>Telemetry Antenna</ns0:v>
      </ns0:c>
      <ns0:c r="C391" s="8" t="str">
        <ns0:v>Communications &amp; Telemetry / Communications &amp; Telemetry</ns0:v>
      </ns0:c>
      <ns0:c r="D391" s="8" t="str">
        <ns0:v>Rocket component</ns0:v>
      </ns0:c>
      <ns0:c r="E391" s="8" t="str">
        <ns0:v>Radiates telemetry signals toward receiving stations.</ns0:v>
      </ns0:c>
      <ns0:c r="F391" s="9" t="str">
        <ns0:f>HYPERLINK("https://physics.aimersociety.com/rocket-lab/parts/telemetry-antenna","https://physics.aimersociety.com/rocket-lab/parts/telemetry-antenna")</ns0:f>
        <ns0:v>https://physics.aimersociety.com/rocket-lab/parts/telemetry-antenna</ns0:v>
      </ns0:c>
      <ns0:c r="G391" s="8" t="str">
        <ns0:v>/rocket-lab/parts/telemetry-antenna</ns0:v>
      </ns0:c>
      <ns0:c r="H391" s="8" t="str">
        <ns0:v>src/data/rocketParts/index.ts</ns0:v>
      </ns0:c>
      <ns0:c r="I391" s="8" t="str"/>
    </ns0:row>
    <ns0:row r="392" ht="82" customHeight="1">
      <ns0:c r="A392" s="8" t="n">
        <ns0:v>386</ns0:v>
      </ns0:c>
      <ns0:c r="B392" s="8" t="str">
        <ns0:v>Telemetry Encoder</ns0:v>
      </ns0:c>
      <ns0:c r="C392" s="8" t="str">
        <ns0:v>Communications &amp; Telemetry / Communications &amp; Telemetry</ns0:v>
      </ns0:c>
      <ns0:c r="D392" s="8" t="str">
        <ns0:v>Rocket component</ns0:v>
      </ns0:c>
      <ns0:c r="E392" s="8" t="str">
        <ns0:v>Formats measurements into the required transmission data stream.</ns0:v>
      </ns0:c>
      <ns0:c r="F392" s="9" t="str">
        <ns0:f>HYPERLINK("https://physics.aimersociety.com/rocket-lab/parts/telemetry-encoder","https://physics.aimersociety.com/rocket-lab/parts/telemetry-encoder")</ns0:f>
        <ns0:v>https://physics.aimersociety.com/rocket-lab/parts/telemetry-encoder</ns0:v>
      </ns0:c>
      <ns0:c r="G392" s="8" t="str">
        <ns0:v>/rocket-lab/parts/telemetry-encoder</ns0:v>
      </ns0:c>
      <ns0:c r="H392" s="8" t="str">
        <ns0:v>src/data/rocketParts/index.ts</ns0:v>
      </ns0:c>
      <ns0:c r="I392" s="8" t="str"/>
    </ns0:row>
    <ns0:row r="393" ht="82" customHeight="1">
      <ns0:c r="A393" s="8" t="n">
        <ns0:v>387</ns0:v>
      </ns0:c>
      <ns0:c r="B393" s="8" t="str">
        <ns0:v>Telemetry Transmitter</ns0:v>
      </ns0:c>
      <ns0:c r="C393" s="8" t="str">
        <ns0:v>Communications &amp; Telemetry / Communications &amp; Telemetry</ns0:v>
      </ns0:c>
      <ns0:c r="D393" s="8" t="str">
        <ns0:v>Rocket component</ns0:v>
      </ns0:c>
      <ns0:c r="E393" s="8" t="str">
        <ns0:v>Sends vehicle measurements and status information to ground stations.</ns0:v>
      </ns0:c>
      <ns0:c r="F393" s="9" t="str">
        <ns0:f>HYPERLINK("https://physics.aimersociety.com/rocket-lab/parts/telemetry-transmitter","https://physics.aimersociety.com/rocket-lab/parts/telemetry-transmitter")</ns0:f>
        <ns0:v>https://physics.aimersociety.com/rocket-lab/parts/telemetry-transmitter</ns0:v>
      </ns0:c>
      <ns0:c r="G393" s="8" t="str">
        <ns0:v>/rocket-lab/parts/telemetry-transmitter</ns0:v>
      </ns0:c>
      <ns0:c r="H393" s="8" t="str">
        <ns0:v>src/data/rocketParts/index.ts</ns0:v>
      </ns0:c>
      <ns0:c r="I393" s="8" t="str"/>
    </ns0:row>
    <ns0:row r="394" ht="82" customHeight="1">
      <ns0:c r="A394" s="8" t="n">
        <ns0:v>388</ns0:v>
      </ns0:c>
      <ns0:c r="B394" s="8" t="str">
        <ns0:v>Tracking Transponder</ns0:v>
      </ns0:c>
      <ns0:c r="C394" s="8" t="str">
        <ns0:v>Communications &amp; Telemetry / Communications &amp; Telemetry</ns0:v>
      </ns0:c>
      <ns0:c r="D394" s="8" t="str">
        <ns0:v>Rocket component</ns0:v>
      </ns0:c>
      <ns0:c r="E394" s="8" t="str">
        <ns0:v>Supports ground-based vehicle tracking and range operations.</ns0:v>
      </ns0:c>
      <ns0:c r="F394" s="9" t="str">
        <ns0:f>HYPERLINK("https://physics.aimersociety.com/rocket-lab/parts/tracking-transponder","https://physics.aimersociety.com/rocket-lab/parts/tracking-transponder")</ns0:f>
        <ns0:v>https://physics.aimersociety.com/rocket-lab/parts/tracking-transponder</ns0:v>
      </ns0:c>
      <ns0:c r="G394" s="8" t="str">
        <ns0:v>/rocket-lab/parts/tracking-transponder</ns0:v>
      </ns0:c>
      <ns0:c r="H394" s="8" t="str">
        <ns0:v>src/data/rocketParts/index.ts</ns0:v>
      </ns0:c>
      <ns0:c r="I394" s="8" t="str"/>
    </ns0:row>
    <ns0:row r="395" ht="82" customHeight="1">
      <ns0:c r="A395" s="8" t="n">
        <ns0:v>389</ns0:v>
      </ns0:c>
      <ns0:c r="B395" s="8" t="str">
        <ns0:v>Video Transmitter</ns0:v>
      </ns0:c>
      <ns0:c r="C395" s="8" t="str">
        <ns0:v>Communications &amp; Telemetry / Communications &amp; Telemetry</ns0:v>
      </ns0:c>
      <ns0:c r="D395" s="8" t="str">
        <ns0:v>Rocket component</ns0:v>
      </ns0:c>
      <ns0:c r="E395" s="8" t="str">
        <ns0:v>Sends live onboard video to the ground.</ns0:v>
      </ns0:c>
      <ns0:c r="F395" s="9" t="str">
        <ns0:f>HYPERLINK("https://physics.aimersociety.com/rocket-lab/parts/video-transmitter","https://physics.aimersociety.com/rocket-lab/parts/video-transmitter")</ns0:f>
        <ns0:v>https://physics.aimersociety.com/rocket-lab/parts/video-transmitter</ns0:v>
      </ns0:c>
      <ns0:c r="G395" s="8" t="str">
        <ns0:v>/rocket-lab/parts/video-transmitter</ns0:v>
      </ns0:c>
      <ns0:c r="H395" s="8" t="str">
        <ns0:v>src/data/rocketParts/index.ts</ns0:v>
      </ns0:c>
      <ns0:c r="I395" s="8" t="str"/>
    </ns0:row>
    <ns0:row r="396" ht="82" customHeight="1">
      <ns0:c r="A396" s="8" t="n">
        <ns0:v>390</ns0:v>
      </ns0:c>
      <ns0:c r="B396" s="8" t="str">
        <ns0:v>Backup Battery</ns0:v>
      </ns0:c>
      <ns0:c r="C396" s="8" t="str">
        <ns0:v>Electrical Power / Electrical Power</ns0:v>
      </ns0:c>
      <ns0:c r="D396" s="8" t="str">
        <ns0:v>Rocket component</ns0:v>
      </ns0:c>
      <ns0:c r="E396" s="8" t="str">
        <ns0:v>Provides emergency or redundant power.</ns0:v>
      </ns0:c>
      <ns0:c r="F396" s="9" t="str">
        <ns0:f>HYPERLINK("https://physics.aimersociety.com/rocket-lab/parts/backup-battery","https://physics.aimersociety.com/rocket-lab/parts/backup-battery")</ns0:f>
        <ns0:v>https://physics.aimersociety.com/rocket-lab/parts/backup-battery</ns0:v>
      </ns0:c>
      <ns0:c r="G396" s="8" t="str">
        <ns0:v>/rocket-lab/parts/backup-battery</ns0:v>
      </ns0:c>
      <ns0:c r="H396" s="8" t="str">
        <ns0:v>src/data/rocketParts/index.ts</ns0:v>
      </ns0:c>
      <ns0:c r="I396" s="8" t="str"/>
    </ns0:row>
    <ns0:row r="397" ht="82" customHeight="1">
      <ns0:c r="A397" s="8" t="n">
        <ns0:v>391</ns0:v>
      </ns0:c>
      <ns0:c r="B397" s="8" t="str">
        <ns0:v>Battery Management System</ns0:v>
      </ns0:c>
      <ns0:c r="C397" s="8" t="str">
        <ns0:v>Electrical Power / Electrical Power</ns0:v>
      </ns0:c>
      <ns0:c r="D397" s="8" t="str">
        <ns0:v>Rocket component</ns0:v>
      </ns0:c>
      <ns0:c r="E397" s="8" t="str">
        <ns0:v>Monitors battery voltage, current, temperature, and state of charge.</ns0:v>
      </ns0:c>
      <ns0:c r="F397" s="9" t="str">
        <ns0:f>HYPERLINK("https://physics.aimersociety.com/rocket-lab/parts/battery-management-system","https://physics.aimersociety.com/rocket-lab/parts/battery-management-system")</ns0:f>
        <ns0:v>https://physics.aimersociety.com/rocket-lab/parts/battery-management-system</ns0:v>
      </ns0:c>
      <ns0:c r="G397" s="8" t="str">
        <ns0:v>/rocket-lab/parts/battery-management-system</ns0:v>
      </ns0:c>
      <ns0:c r="H397" s="8" t="str">
        <ns0:v>src/data/rocketParts/index.ts</ns0:v>
      </ns0:c>
      <ns0:c r="I397" s="8" t="str"/>
    </ns0:row>
    <ns0:row r="398" ht="82" customHeight="1">
      <ns0:c r="A398" s="8" t="n">
        <ns0:v>392</ns0:v>
      </ns0:c>
      <ns0:c r="B398" s="8" t="str">
        <ns0:v>Circuit Protection Device</ns0:v>
      </ns0:c>
      <ns0:c r="C398" s="8" t="str">
        <ns0:v>Electrical Power / Electrical Power</ns0:v>
      </ns0:c>
      <ns0:c r="D398" s="8" t="str">
        <ns0:v>Rocket component</ns0:v>
      </ns0:c>
      <ns0:c r="E398" s="8" t="str">
        <ns0:v>Protects wiring and equipment from excessive current or faults.</ns0:v>
      </ns0:c>
      <ns0:c r="F398" s="9" t="str">
        <ns0:f>HYPERLINK("https://physics.aimersociety.com/rocket-lab/parts/circuit-protection-device","https://physics.aimersociety.com/rocket-lab/parts/circuit-protection-device")</ns0:f>
        <ns0:v>https://physics.aimersociety.com/rocket-lab/parts/circuit-protection-device</ns0:v>
      </ns0:c>
      <ns0:c r="G398" s="8" t="str">
        <ns0:v>/rocket-lab/parts/circuit-protection-device</ns0:v>
      </ns0:c>
      <ns0:c r="H398" s="8" t="str">
        <ns0:v>src/data/rocketParts/index.ts</ns0:v>
      </ns0:c>
      <ns0:c r="I398" s="8" t="str"/>
    </ns0:row>
    <ns0:row r="399" ht="82" customHeight="1">
      <ns0:c r="A399" s="8" t="n">
        <ns0:v>393</ns0:v>
      </ns0:c>
      <ns0:c r="B399" s="8" t="str">
        <ns0:v>DC-DC Converter</ns0:v>
      </ns0:c>
      <ns0:c r="C399" s="8" t="str">
        <ns0:v>Electrical Power / Electrical Power</ns0:v>
      </ns0:c>
      <ns0:c r="D399" s="8" t="str">
        <ns0:v>Rocket component</ns0:v>
      </ns0:c>
      <ns0:c r="E399" s="8" t="str">
        <ns0:v>Converts one direct-current voltage level into another.</ns0:v>
      </ns0:c>
      <ns0:c r="F399" s="9" t="str">
        <ns0:f>HYPERLINK("https://physics.aimersociety.com/rocket-lab/parts/dc-dc-converter","https://physics.aimersociety.com/rocket-lab/parts/dc-dc-converter")</ns0:f>
        <ns0:v>https://physics.aimersociety.com/rocket-lab/parts/dc-dc-converter</ns0:v>
      </ns0:c>
      <ns0:c r="G399" s="8" t="str">
        <ns0:v>/rocket-lab/parts/dc-dc-converter</ns0:v>
      </ns0:c>
      <ns0:c r="H399" s="8" t="str">
        <ns0:v>src/data/rocketParts/index.ts</ns0:v>
      </ns0:c>
      <ns0:c r="I399" s="8" t="str"/>
    </ns0:row>
    <ns0:row r="400" ht="82" customHeight="1">
      <ns0:c r="A400" s="8" t="n">
        <ns0:v>394</ns0:v>
      </ns0:c>
      <ns0:c r="B400" s="8" t="str">
        <ns0:v>Ground Power Connector</ns0:v>
      </ns0:c>
      <ns0:c r="C400" s="8" t="str">
        <ns0:v>Electrical Power / Electrical Power</ns0:v>
      </ns0:c>
      <ns0:c r="D400" s="8" t="str">
        <ns0:v>Rocket component</ns0:v>
      </ns0:c>
      <ns0:c r="E400" s="8" t="str">
        <ns0:v>Supplies external power before launch.</ns0:v>
      </ns0:c>
      <ns0:c r="F400" s="9" t="str">
        <ns0:f>HYPERLINK("https://physics.aimersociety.com/rocket-lab/parts/ground-power-connector","https://physics.aimersociety.com/rocket-lab/parts/ground-power-connector")</ns0:f>
        <ns0:v>https://physics.aimersociety.com/rocket-lab/parts/ground-power-connector</ns0:v>
      </ns0:c>
      <ns0:c r="G400" s="8" t="str">
        <ns0:v>/rocket-lab/parts/ground-power-connector</ns0:v>
      </ns0:c>
      <ns0:c r="H400" s="8" t="str">
        <ns0:v>src/data/rocketParts/index.ts</ns0:v>
      </ns0:c>
      <ns0:c r="I400" s="8" t="str"/>
    </ns0:row>
    <ns0:row r="401" ht="82" customHeight="1">
      <ns0:c r="A401" s="8" t="n">
        <ns0:v>395</ns0:v>
      </ns0:c>
      <ns0:c r="B401" s="8" t="str">
        <ns0:v>Inverter</ns0:v>
      </ns0:c>
      <ns0:c r="C401" s="8" t="str">
        <ns0:v>Electrical Power / Electrical Power</ns0:v>
      </ns0:c>
      <ns0:c r="D401" s="8" t="str">
        <ns0:v>Rocket component</ns0:v>
      </ns0:c>
      <ns0:c r="E401" s="8" t="str">
        <ns0:v>Converts direct current to alternating current.</ns0:v>
      </ns0:c>
      <ns0:c r="F401" s="9" t="str">
        <ns0:f>HYPERLINK("https://physics.aimersociety.com/rocket-lab/parts/inverter","https://physics.aimersociety.com/rocket-lab/parts/inverter")</ns0:f>
        <ns0:v>https://physics.aimersociety.com/rocket-lab/parts/inverter</ns0:v>
      </ns0:c>
      <ns0:c r="G401" s="8" t="str">
        <ns0:v>/rocket-lab/parts/inverter</ns0:v>
      </ns0:c>
      <ns0:c r="H401" s="8" t="str">
        <ns0:v>src/data/rocketParts/index.ts</ns0:v>
      </ns0:c>
      <ns0:c r="I401" s="8" t="str"/>
    </ns0:row>
    <ns0:row r="402" ht="82" customHeight="1">
      <ns0:c r="A402" s="8" t="n">
        <ns0:v>396</ns0:v>
      </ns0:c>
      <ns0:c r="B402" s="8" t="str">
        <ns0:v>Main Battery</ns0:v>
      </ns0:c>
      <ns0:c r="C402" s="8" t="str">
        <ns0:v>Electrical Power / Electrical Power</ns0:v>
      </ns0:c>
      <ns0:c r="D402" s="8" t="str">
        <ns0:v>Rocket component</ns0:v>
      </ns0:c>
      <ns0:c r="E402" s="8" t="str">
        <ns0:v>Supplies electrical power to avionics, actuators, valves, sensors, and communication systems.</ns0:v>
      </ns0:c>
      <ns0:c r="F402" s="9" t="str">
        <ns0:f>HYPERLINK("https://physics.aimersociety.com/rocket-lab/parts/main-battery","https://physics.aimersociety.com/rocket-lab/parts/main-battery")</ns0:f>
        <ns0:v>https://physics.aimersociety.com/rocket-lab/parts/main-battery</ns0:v>
      </ns0:c>
      <ns0:c r="G402" s="8" t="str">
        <ns0:v>/rocket-lab/parts/main-battery</ns0:v>
      </ns0:c>
      <ns0:c r="H402" s="8" t="str">
        <ns0:v>src/data/rocketParts/index.ts</ns0:v>
      </ns0:c>
      <ns0:c r="I402" s="8" t="str"/>
    </ns0:row>
    <ns0:row r="403" ht="82" customHeight="1">
      <ns0:c r="A403" s="8" t="n">
        <ns0:v>397</ns0:v>
      </ns0:c>
      <ns0:c r="B403" s="8" t="str">
        <ns0:v>Power Distribution Unit</ns0:v>
      </ns0:c>
      <ns0:c r="C403" s="8" t="str">
        <ns0:v>Electrical Power / Electrical Power</ns0:v>
      </ns0:c>
      <ns0:c r="D403" s="8" t="str">
        <ns0:v>Rocket component</ns0:v>
      </ns0:c>
      <ns0:c r="E403" s="8" t="str">
        <ns0:v>Routes and protects electrical power circuits.</ns0:v>
      </ns0:c>
      <ns0:c r="F403" s="9" t="str">
        <ns0:f>HYPERLINK("https://physics.aimersociety.com/rocket-lab/parts/power-distribution-unit","https://physics.aimersociety.com/rocket-lab/parts/power-distribution-unit")</ns0:f>
        <ns0:v>https://physics.aimersociety.com/rocket-lab/parts/power-distribution-unit</ns0:v>
      </ns0:c>
      <ns0:c r="G403" s="8" t="str">
        <ns0:v>/rocket-lab/parts/power-distribution-unit</ns0:v>
      </ns0:c>
      <ns0:c r="H403" s="8" t="str">
        <ns0:v>src/data/rocketParts/index.ts</ns0:v>
      </ns0:c>
      <ns0:c r="I403" s="8" t="str"/>
    </ns0:row>
    <ns0:row r="404" ht="82" customHeight="1">
      <ns0:c r="A404" s="8" t="n">
        <ns0:v>398</ns0:v>
      </ns0:c>
      <ns0:c r="B404" s="8" t="str">
        <ns0:v>Pyrotechnic Initiator Circuit</ns0:v>
      </ns0:c>
      <ns0:c r="C404" s="8" t="str">
        <ns0:v>Electrical Power / Electrical Power</ns0:v>
      </ns0:c>
      <ns0:c r="D404" s="8" t="str">
        <ns0:v>Rocket component</ns0:v>
      </ns0:c>
      <ns0:c r="E404" s="8" t="str">
        <ns0:v>Delivers controlled electrical energy to approved separation or deployment devices.</ns0:v>
      </ns0:c>
      <ns0:c r="F404" s="9" t="str">
        <ns0:f>HYPERLINK("https://physics.aimersociety.com/rocket-lab/parts/pyrotechnic-initiator-circuit","https://physics.aimersociety.com/rocket-lab/parts/pyrotechnic-initiator-circuit")</ns0:f>
        <ns0:v>https://physics.aimersociety.com/rocket-lab/parts/pyrotechnic-initiator-circuit</ns0:v>
      </ns0:c>
      <ns0:c r="G404" s="8" t="str">
        <ns0:v>/rocket-lab/parts/pyrotechnic-initiator-circuit</ns0:v>
      </ns0:c>
      <ns0:c r="H404" s="8" t="str">
        <ns0:v>src/data/rocketParts/index.ts</ns0:v>
      </ns0:c>
      <ns0:c r="I404" s="8" t="str"/>
    </ns0:row>
    <ns0:row r="405" ht="82" customHeight="1">
      <ns0:c r="A405" s="8" t="n">
        <ns0:v>399</ns0:v>
      </ns0:c>
      <ns0:c r="B405" s="8" t="str">
        <ns0:v>Umbilical Electrical Connector</ns0:v>
      </ns0:c>
      <ns0:c r="C405" s="8" t="str">
        <ns0:v>Electrical Power / Electrical Power</ns0:v>
      </ns0:c>
      <ns0:c r="D405" s="8" t="str">
        <ns0:v>Rocket component</ns0:v>
      </ns0:c>
      <ns0:c r="E405" s="8" t="str">
        <ns0:v>Carries ground power, commands, and data until launch release.</ns0:v>
      </ns0:c>
      <ns0:c r="F405" s="9" t="str">
        <ns0:f>HYPERLINK("https://physics.aimersociety.com/rocket-lab/parts/umbilical-electrical-connector","https://physics.aimersociety.com/rocket-lab/parts/umbilical-electrical-connector")</ns0:f>
        <ns0:v>https://physics.aimersociety.com/rocket-lab/parts/umbilical-electrical-connector</ns0:v>
      </ns0:c>
      <ns0:c r="G405" s="8" t="str">
        <ns0:v>/rocket-lab/parts/umbilical-electrical-connector</ns0:v>
      </ns0:c>
      <ns0:c r="H405" s="8" t="str">
        <ns0:v>src/data/rocketParts/index.ts</ns0:v>
      </ns0:c>
      <ns0:c r="I405" s="8" t="str"/>
    </ns0:row>
    <ns0:row r="406" ht="82" customHeight="1">
      <ns0:c r="A406" s="8" t="n">
        <ns0:v>400</ns0:v>
      </ns0:c>
      <ns0:c r="B406" s="8" t="str">
        <ns0:v>Autonomous Flight Safety System</ns0:v>
      </ns0:c>
      <ns0:c r="C406" s="8" t="str">
        <ns0:v>Flight Safety / Flight Safety</ns0:v>
      </ns0:c>
      <ns0:c r="D406" s="8" t="str">
        <ns0:v>Rocket component</ns0:v>
      </ns0:c>
      <ns0:c r="E406" s="8" t="str">
        <ns0:v>Evaluates flight data and approved safety rules onboard to support range-safety decisions.</ns0:v>
      </ns0:c>
      <ns0:c r="F406" s="9" t="str">
        <ns0:f>HYPERLINK("https://physics.aimersociety.com/rocket-lab/parts/autonomous-flight-safety-system","https://physics.aimersociety.com/rocket-lab/parts/autonomous-flight-safety-system")</ns0:f>
        <ns0:v>https://physics.aimersociety.com/rocket-lab/parts/autonomous-flight-safety-system</ns0:v>
      </ns0:c>
      <ns0:c r="G406" s="8" t="str">
        <ns0:v>/rocket-lab/parts/autonomous-flight-safety-system</ns0:v>
      </ns0:c>
      <ns0:c r="H406" s="8" t="str">
        <ns0:v>src/data/rocketParts/index.ts</ns0:v>
      </ns0:c>
      <ns0:c r="I406" s="8" t="str"/>
    </ns0:row>
    <ns0:row r="407" ht="82" customHeight="1">
      <ns0:c r="A407" s="8" t="n">
        <ns0:v>401</ns0:v>
      </ns0:c>
      <ns0:c r="B407" s="8" t="str">
        <ns0:v>Destruct-System Hardware</ns0:v>
      </ns0:c>
      <ns0:c r="C407" s="8" t="str">
        <ns0:v>Flight Safety / Flight Safety</ns0:v>
      </ns0:c>
      <ns0:c r="D407" s="8" t="str">
        <ns0:v>Rocket component</ns0:v>
      </ns0:c>
      <ns0:c r="E407" s="8" t="str">
        <ns0:v>Represents controlled flight-termination hardware used in some launch vehicles.</ns0:v>
      </ns0:c>
      <ns0:c r="F407" s="9" t="str">
        <ns0:f>HYPERLINK("https://physics.aimersociety.com/rocket-lab/parts/destruct-system-hardware","https://physics.aimersociety.com/rocket-lab/parts/destruct-system-hardware")</ns0:f>
        <ns0:v>https://physics.aimersociety.com/rocket-lab/parts/destruct-system-hardware</ns0:v>
      </ns0:c>
      <ns0:c r="G407" s="8" t="str">
        <ns0:v>/rocket-lab/parts/destruct-system-hardware</ns0:v>
      </ns0:c>
      <ns0:c r="H407" s="8" t="str">
        <ns0:v>src/data/rocketParts/index.ts</ns0:v>
      </ns0:c>
      <ns0:c r="I407" s="8" t="str"/>
    </ns0:row>
    <ns0:row r="408" ht="82" customHeight="1">
      <ns0:c r="A408" s="8" t="n">
        <ns0:v>402</ns0:v>
      </ns0:c>
      <ns0:c r="B408" s="8" t="str">
        <ns0:v>Flight Termination System</ns0:v>
      </ns0:c>
      <ns0:c r="C408" s="8" t="str">
        <ns0:v>Flight Safety / Flight Safety</ns0:v>
      </ns0:c>
      <ns0:c r="D408" s="8" t="str">
        <ns0:v>Rocket component</ns0:v>
      </ns0:c>
      <ns0:c r="E408" s="8" t="str">
        <ns0:v>Provides an independent safety capability for preventing an errant launch vehicle from threatening protected areas.</ns0:v>
      </ns0:c>
      <ns0:c r="F408" s="9" t="str">
        <ns0:f>HYPERLINK("https://physics.aimersociety.com/rocket-lab/parts/flight-termination-system","https://physics.aimersociety.com/rocket-lab/parts/flight-termination-system")</ns0:f>
        <ns0:v>https://physics.aimersociety.com/rocket-lab/parts/flight-termination-system</ns0:v>
      </ns0:c>
      <ns0:c r="G408" s="8" t="str">
        <ns0:v>/rocket-lab/parts/flight-termination-system</ns0:v>
      </ns0:c>
      <ns0:c r="H408" s="8" t="str">
        <ns0:v>src/data/rocketParts/index.ts</ns0:v>
      </ns0:c>
      <ns0:c r="I408" s="8" t="str"/>
    </ns0:row>
    <ns0:row r="409" ht="82" customHeight="1">
      <ns0:c r="A409" s="8" t="n">
        <ns0:v>403</ns0:v>
      </ns0:c>
      <ns0:c r="B409" s="8" t="str">
        <ns0:v>Flight-Safety Computer</ns0:v>
      </ns0:c>
      <ns0:c r="C409" s="8" t="str">
        <ns0:v>Flight Safety / Flight Safety</ns0:v>
      </ns0:c>
      <ns0:c r="D409" s="8" t="str">
        <ns0:v>Rocket component</ns0:v>
      </ns0:c>
      <ns0:c r="E409" s="8" t="str">
        <ns0:v>Processes independent navigation and vehicle-health information for safety monitoring.</ns0:v>
      </ns0:c>
      <ns0:c r="F409" s="9" t="str">
        <ns0:f>HYPERLINK("https://physics.aimersociety.com/rocket-lab/parts/flight-safety-computer","https://physics.aimersociety.com/rocket-lab/parts/flight-safety-computer")</ns0:f>
        <ns0:v>https://physics.aimersociety.com/rocket-lab/parts/flight-safety-computer</ns0:v>
      </ns0:c>
      <ns0:c r="G409" s="8" t="str">
        <ns0:v>/rocket-lab/parts/flight-safety-computer</ns0:v>
      </ns0:c>
      <ns0:c r="H409" s="8" t="str">
        <ns0:v>src/data/rocketParts/index.ts</ns0:v>
      </ns0:c>
      <ns0:c r="I409" s="8" t="str"/>
    </ns0:row>
    <ns0:row r="410" ht="82" customHeight="1">
      <ns0:c r="A410" s="8" t="n">
        <ns0:v>404</ns0:v>
      </ns0:c>
      <ns0:c r="B410" s="8" t="str">
        <ns0:v>FTS Antenna</ns0:v>
      </ns0:c>
      <ns0:c r="C410" s="8" t="str">
        <ns0:v>Flight Safety / Flight Safety</ns0:v>
      </ns0:c>
      <ns0:c r="D410" s="8" t="str">
        <ns0:v>Rocket component</ns0:v>
      </ns0:c>
      <ns0:c r="E410" s="8" t="str">
        <ns0:v>Receives authorized range-safety commands where a command-based system is used.</ns0:v>
      </ns0:c>
      <ns0:c r="F410" s="9" t="str">
        <ns0:f>HYPERLINK("https://physics.aimersociety.com/rocket-lab/parts/fts-antenna","https://physics.aimersociety.com/rocket-lab/parts/fts-antenna")</ns0:f>
        <ns0:v>https://physics.aimersociety.com/rocket-lab/parts/fts-antenna</ns0:v>
      </ns0:c>
      <ns0:c r="G410" s="8" t="str">
        <ns0:v>/rocket-lab/parts/fts-antenna</ns0:v>
      </ns0:c>
      <ns0:c r="H410" s="8" t="str">
        <ns0:v>src/data/rocketParts/index.ts</ns0:v>
      </ns0:c>
      <ns0:c r="I410" s="8" t="str"/>
    </ns0:row>
    <ns0:row r="411" ht="82" customHeight="1">
      <ns0:c r="A411" s="8" t="n">
        <ns0:v>405</ns0:v>
      </ns0:c>
      <ns0:c r="B411" s="8" t="str">
        <ns0:v>Independent Tracking Receiver</ns0:v>
      </ns0:c>
      <ns0:c r="C411" s="8" t="str">
        <ns0:v>Flight Safety / Flight Safety</ns0:v>
      </ns0:c>
      <ns0:c r="D411" s="8" t="str">
        <ns0:v>Rocket component</ns0:v>
      </ns0:c>
      <ns0:c r="E411" s="8" t="str">
        <ns0:v>Supplies flight-safety position or tracking information.</ns0:v>
      </ns0:c>
      <ns0:c r="F411" s="9" t="str">
        <ns0:f>HYPERLINK("https://physics.aimersociety.com/rocket-lab/parts/independent-tracking-receiver","https://physics.aimersociety.com/rocket-lab/parts/independent-tracking-receiver")</ns0:f>
        <ns0:v>https://physics.aimersociety.com/rocket-lab/parts/independent-tracking-receiver</ns0:v>
      </ns0:c>
      <ns0:c r="G411" s="8" t="str">
        <ns0:v>/rocket-lab/parts/independent-tracking-receiver</ns0:v>
      </ns0:c>
      <ns0:c r="H411" s="8" t="str">
        <ns0:v>src/data/rocketParts/index.ts</ns0:v>
      </ns0:c>
      <ns0:c r="I411" s="8" t="str"/>
    </ns0:row>
    <ns0:row r="412" ht="82" customHeight="1">
      <ns0:c r="A412" s="8" t="n">
        <ns0:v>406</ns0:v>
      </ns0:c>
      <ns0:c r="B412" s="8" t="str">
        <ns0:v>Range Tracking Beacon</ns0:v>
      </ns0:c>
      <ns0:c r="C412" s="8" t="str">
        <ns0:v>Flight Safety / Flight Safety</ns0:v>
      </ns0:c>
      <ns0:c r="D412" s="8" t="str">
        <ns0:v>Rocket component</ns0:v>
      </ns0:c>
      <ns0:c r="E412" s="8" t="str">
        <ns0:v>Helps range systems identify and track the vehicle.</ns0:v>
      </ns0:c>
      <ns0:c r="F412" s="9" t="str">
        <ns0:f>HYPERLINK("https://physics.aimersociety.com/rocket-lab/parts/range-tracking-beacon","https://physics.aimersociety.com/rocket-lab/parts/range-tracking-beacon")</ns0:f>
        <ns0:v>https://physics.aimersociety.com/rocket-lab/parts/range-tracking-beacon</ns0:v>
      </ns0:c>
      <ns0:c r="G412" s="8" t="str">
        <ns0:v>/rocket-lab/parts/range-tracking-beacon</ns0:v>
      </ns0:c>
      <ns0:c r="H412" s="8" t="str">
        <ns0:v>src/data/rocketParts/index.ts</ns0:v>
      </ns0:c>
      <ns0:c r="I412" s="8" t="str"/>
    </ns0:row>
    <ns0:row r="413" ht="82" customHeight="1">
      <ns0:c r="A413" s="8" t="n">
        <ns0:v>407</ns0:v>
      </ns0:c>
      <ns0:c r="B413" s="8" t="str">
        <ns0:v>Range-Safety Battery</ns0:v>
      </ns0:c>
      <ns0:c r="C413" s="8" t="str">
        <ns0:v>Flight Safety / Flight Safety</ns0:v>
      </ns0:c>
      <ns0:c r="D413" s="8" t="str">
        <ns0:v>Rocket component</ns0:v>
      </ns0:c>
      <ns0:c r="E413" s="8" t="str">
        <ns0:v>Supplies isolated power to the flight-safety system.</ns0:v>
      </ns0:c>
      <ns0:c r="F413" s="9" t="str">
        <ns0:f>HYPERLINK("https://physics.aimersociety.com/rocket-lab/parts/range-safety-battery","https://physics.aimersociety.com/rocket-lab/parts/range-safety-battery")</ns0:f>
        <ns0:v>https://physics.aimersociety.com/rocket-lab/parts/range-safety-battery</ns0:v>
      </ns0:c>
      <ns0:c r="G413" s="8" t="str">
        <ns0:v>/rocket-lab/parts/range-safety-battery</ns0:v>
      </ns0:c>
      <ns0:c r="H413" s="8" t="str">
        <ns0:v>src/data/rocketParts/index.ts</ns0:v>
      </ns0:c>
      <ns0:c r="I413" s="8" t="str"/>
    </ns0:row>
    <ns0:row r="414" ht="82" customHeight="1">
      <ns0:c r="A414" s="8" t="n">
        <ns0:v>408</ns0:v>
      </ns0:c>
      <ns0:c r="B414" s="8" t="str">
        <ns0:v>Safe-and-Arm Device</ns0:v>
      </ns0:c>
      <ns0:c r="C414" s="8" t="str">
        <ns0:v>Flight Safety / Flight Safety</ns0:v>
      </ns0:c>
      <ns0:c r="D414" s="8" t="str">
        <ns0:v>Rocket component</ns0:v>
      </ns0:c>
      <ns0:c r="E414" s="8" t="str">
        <ns0:v>Prevents inadvertent activation until the approved flight state.</ns0:v>
      </ns0:c>
      <ns0:c r="F414" s="9" t="str">
        <ns0:f>HYPERLINK("https://physics.aimersociety.com/rocket-lab/parts/safe-and-arm-device","https://physics.aimersociety.com/rocket-lab/parts/safe-and-arm-device")</ns0:f>
        <ns0:v>https://physics.aimersociety.com/rocket-lab/parts/safe-and-arm-device</ns0:v>
      </ns0:c>
      <ns0:c r="G414" s="8" t="str">
        <ns0:v>/rocket-lab/parts/safe-and-arm-device</ns0:v>
      </ns0:c>
      <ns0:c r="H414" s="8" t="str">
        <ns0:v>src/data/rocketParts/index.ts</ns0:v>
      </ns0:c>
      <ns0:c r="I414" s="8" t="str"/>
    </ns0:row>
    <ns0:row r="415" ht="82" customHeight="1">
      <ns0:c r="A415" s="8" t="n">
        <ns0:v>409</ns0:v>
      </ns0:c>
      <ns0:c r="B415" s="8" t="str">
        <ns0:v>Drain Connection</ns0:v>
      </ns0:c>
      <ns0:c r="C415" s="8" t="str">
        <ns0:v>Ground Interface / Ground Interface</ns0:v>
      </ns0:c>
      <ns0:c r="D415" s="8" t="str">
        <ns0:v>Rocket component</ns0:v>
      </ns0:c>
      <ns0:c r="E415" s="8" t="str">
        <ns0:v>Supports controlled removal of vehicle fluids.</ns0:v>
      </ns0:c>
      <ns0:c r="F415" s="9" t="str">
        <ns0:f>HYPERLINK("https://physics.aimersociety.com/rocket-lab/parts/drain-connection","https://physics.aimersociety.com/rocket-lab/parts/drain-connection")</ns0:f>
        <ns0:v>https://physics.aimersociety.com/rocket-lab/parts/drain-connection</ns0:v>
      </ns0:c>
      <ns0:c r="G415" s="8" t="str">
        <ns0:v>/rocket-lab/parts/drain-connection</ns0:v>
      </ns0:c>
      <ns0:c r="H415" s="8" t="str">
        <ns0:v>src/data/rocketParts/index.ts</ns0:v>
      </ns0:c>
      <ns0:c r="I415" s="8" t="str"/>
    </ns0:row>
    <ns0:row r="416" ht="82" customHeight="1">
      <ns0:c r="A416" s="8" t="n">
        <ns0:v>410</ns0:v>
      </ns0:c>
      <ns0:c r="B416" s="8" t="str">
        <ns0:v>Flame Deflector</ns0:v>
      </ns0:c>
      <ns0:c r="C416" s="8" t="str">
        <ns0:v>Ground Interface / Ground Interface</ns0:v>
      </ns0:c>
      <ns0:c r="D416" s="8" t="str">
        <ns0:v>Rocket component</ns0:v>
      </ns0:c>
      <ns0:c r="E416" s="8" t="str">
        <ns0:v>Redirects engine exhaust away from the vehicle and launch structure.</ns0:v>
      </ns0:c>
      <ns0:c r="F416" s="9" t="str">
        <ns0:f>HYPERLINK("https://physics.aimersociety.com/rocket-lab/parts/flame-deflector","https://physics.aimersociety.com/rocket-lab/parts/flame-deflector")</ns0:f>
        <ns0:v>https://physics.aimersociety.com/rocket-lab/parts/flame-deflector</ns0:v>
      </ns0:c>
      <ns0:c r="G416" s="8" t="str">
        <ns0:v>/rocket-lab/parts/flame-deflector</ns0:v>
      </ns0:c>
      <ns0:c r="H416" s="8" t="str">
        <ns0:v>src/data/rocketParts/index.ts</ns0:v>
      </ns0:c>
      <ns0:c r="I416" s="8" t="str"/>
    </ns0:row>
    <ns0:row r="417" ht="82" customHeight="1">
      <ns0:c r="A417" s="8" t="n">
        <ns0:v>411</ns0:v>
      </ns0:c>
      <ns0:c r="B417" s="8" t="str">
        <ns0:v>Ground Purge Connection</ns0:v>
      </ns0:c>
      <ns0:c r="C417" s="8" t="str">
        <ns0:v>Ground Interface / Ground Interface</ns0:v>
      </ns0:c>
      <ns0:c r="D417" s="8" t="str">
        <ns0:v>Rocket component</ns0:v>
      </ns0:c>
      <ns0:c r="E417" s="8" t="str">
        <ns0:v>Supplies purge gas from ground equipment.</ns0:v>
      </ns0:c>
      <ns0:c r="F417" s="9" t="str">
        <ns0:f>HYPERLINK("https://physics.aimersociety.com/rocket-lab/parts/ground-purge-connection","https://physics.aimersociety.com/rocket-lab/parts/ground-purge-connection")</ns0:f>
        <ns0:v>https://physics.aimersociety.com/rocket-lab/parts/ground-purge-connection</ns0:v>
      </ns0:c>
      <ns0:c r="G417" s="8" t="str">
        <ns0:v>/rocket-lab/parts/ground-purge-connection</ns0:v>
      </ns0:c>
      <ns0:c r="H417" s="8" t="str">
        <ns0:v>src/data/rocketParts/index.ts</ns0:v>
      </ns0:c>
      <ns0:c r="I417" s="8" t="str"/>
    </ns0:row>
    <ns0:row r="418" ht="82" customHeight="1">
      <ns0:c r="A418" s="8" t="n">
        <ns0:v>412</ns0:v>
      </ns0:c>
      <ns0:c r="B418" s="8" t="str">
        <ns0:v>Hold-Down Clamp</ns0:v>
      </ns0:c>
      <ns0:c r="C418" s="8" t="str">
        <ns0:v>Ground Interface / Ground Interface</ns0:v>
      </ns0:c>
      <ns0:c r="D418" s="8" t="str">
        <ns0:v>Rocket component</ns0:v>
      </ns0:c>
      <ns0:c r="E418" s="8" t="str">
        <ns0:v>Restrains the rocket until approved release.</ns0:v>
      </ns0:c>
      <ns0:c r="F418" s="9" t="str">
        <ns0:f>HYPERLINK("https://physics.aimersociety.com/rocket-lab/parts/hold-down-clamp","https://physics.aimersociety.com/rocket-lab/parts/hold-down-clamp")</ns0:f>
        <ns0:v>https://physics.aimersociety.com/rocket-lab/parts/hold-down-clamp</ns0:v>
      </ns0:c>
      <ns0:c r="G418" s="8" t="str">
        <ns0:v>/rocket-lab/parts/hold-down-clamp</ns0:v>
      </ns0:c>
      <ns0:c r="H418" s="8" t="str">
        <ns0:v>src/data/rocketParts/index.ts</ns0:v>
      </ns0:c>
      <ns0:c r="I418" s="8" t="str"/>
    </ns0:row>
    <ns0:row r="419" ht="82" customHeight="1">
      <ns0:c r="A419" s="8" t="n">
        <ns0:v>413</ns0:v>
      </ns0:c>
      <ns0:c r="B419" s="8" t="str">
        <ns0:v>Launch Mount</ns0:v>
      </ns0:c>
      <ns0:c r="C419" s="8" t="str">
        <ns0:v>Ground Interface / Ground Interface</ns0:v>
      </ns0:c>
      <ns0:c r="D419" s="8" t="str">
        <ns0:v>Rocket component</ns0:v>
      </ns0:c>
      <ns0:c r="E419" s="8" t="str">
        <ns0:v>Supports the rocket before liftoff.</ns0:v>
      </ns0:c>
      <ns0:c r="F419" s="9" t="str">
        <ns0:f>HYPERLINK("https://physics.aimersociety.com/rocket-lab/parts/launch-mount","https://physics.aimersociety.com/rocket-lab/parts/launch-mount")</ns0:f>
        <ns0:v>https://physics.aimersociety.com/rocket-lab/parts/launch-mount</ns0:v>
      </ns0:c>
      <ns0:c r="G419" s="8" t="str">
        <ns0:v>/rocket-lab/parts/launch-mount</ns0:v>
      </ns0:c>
      <ns0:c r="H419" s="8" t="str">
        <ns0:v>src/data/rocketParts/index.ts</ns0:v>
      </ns0:c>
      <ns0:c r="I419" s="8" t="str"/>
    </ns0:row>
    <ns0:row r="420" ht="82" customHeight="1">
      <ns0:c r="A420" s="8" t="n">
        <ns0:v>414</ns0:v>
      </ns0:c>
      <ns0:c r="B420" s="8" t="str">
        <ns0:v>Launch Platform</ns0:v>
      </ns0:c>
      <ns0:c r="C420" s="8" t="str">
        <ns0:v>Ground Interface / Ground Interface</ns0:v>
      </ns0:c>
      <ns0:c r="D420" s="8" t="str">
        <ns0:v>Rocket component</ns0:v>
      </ns0:c>
      <ns0:c r="E420" s="8" t="str">
        <ns0:v>Carries the vehicle and associated ground-service equipment.</ns0:v>
      </ns0:c>
      <ns0:c r="F420" s="9" t="str">
        <ns0:f>HYPERLINK("https://physics.aimersociety.com/rocket-lab/parts/launch-platform","https://physics.aimersociety.com/rocket-lab/parts/launch-platform")</ns0:f>
        <ns0:v>https://physics.aimersociety.com/rocket-lab/parts/launch-platform</ns0:v>
      </ns0:c>
      <ns0:c r="G420" s="8" t="str">
        <ns0:v>/rocket-lab/parts/launch-platform</ns0:v>
      </ns0:c>
      <ns0:c r="H420" s="8" t="str">
        <ns0:v>src/data/rocketParts/index.ts</ns0:v>
      </ns0:c>
      <ns0:c r="I420" s="8" t="str"/>
    </ns0:row>
    <ns0:row r="421" ht="82" customHeight="1">
      <ns0:c r="A421" s="8" t="n">
        <ns0:v>415</ns0:v>
      </ns0:c>
      <ns0:c r="B421" s="8" t="str">
        <ns0:v>Launch Rail</ns0:v>
      </ns0:c>
      <ns0:c r="C421" s="8" t="str">
        <ns0:v>Ground Interface / Ground Interface</ns0:v>
      </ns0:c>
      <ns0:c r="D421" s="8" t="str">
        <ns0:v>Rocket component</ns0:v>
      </ns0:c>
      <ns0:c r="E421" s="8" t="str">
        <ns0:v>Guides the rocket during the earliest portion of flight.</ns0:v>
      </ns0:c>
      <ns0:c r="F421" s="9" t="str">
        <ns0:f>HYPERLINK("https://physics.aimersociety.com/rocket-lab/parts/launch-rail","https://physics.aimersociety.com/rocket-lab/parts/launch-rail")</ns0:f>
        <ns0:v>https://physics.aimersociety.com/rocket-lab/parts/launch-rail</ns0:v>
      </ns0:c>
      <ns0:c r="G421" s="8" t="str">
        <ns0:v>/rocket-lab/parts/launch-rail</ns0:v>
      </ns0:c>
      <ns0:c r="H421" s="8" t="str">
        <ns0:v>src/data/rocketParts/index.ts</ns0:v>
      </ns0:c>
      <ns0:c r="I421" s="8" t="str"/>
    </ns0:row>
    <ns0:row r="422" ht="82" customHeight="1">
      <ns0:c r="A422" s="8" t="n">
        <ns0:v>416</ns0:v>
      </ns0:c>
      <ns0:c r="B422" s="8" t="str">
        <ns0:v>Lightning Protection Interface</ns0:v>
      </ns0:c>
      <ns0:c r="C422" s="8" t="str">
        <ns0:v>Ground Interface / Ground Interface</ns0:v>
      </ns0:c>
      <ns0:c r="D422" s="8" t="str">
        <ns0:v>Rocket component</ns0:v>
      </ns0:c>
      <ns0:c r="E422" s="8" t="str">
        <ns0:v>Helps protect the vehicle and pad systems from lightning hazards.</ns0:v>
      </ns0:c>
      <ns0:c r="F422" s="9" t="str">
        <ns0:f>HYPERLINK("https://physics.aimersociety.com/rocket-lab/parts/lightning-protection-interface","https://physics.aimersociety.com/rocket-lab/parts/lightning-protection-interface")</ns0:f>
        <ns0:v>https://physics.aimersociety.com/rocket-lab/parts/lightning-protection-interface</ns0:v>
      </ns0:c>
      <ns0:c r="G422" s="8" t="str">
        <ns0:v>/rocket-lab/parts/lightning-protection-interface</ns0:v>
      </ns0:c>
      <ns0:c r="H422" s="8" t="str">
        <ns0:v>src/data/rocketParts/index.ts</ns0:v>
      </ns0:c>
      <ns0:c r="I422" s="8" t="str"/>
    </ns0:row>
    <ns0:row r="423" ht="82" customHeight="1">
      <ns0:c r="A423" s="8" t="n">
        <ns0:v>417</ns0:v>
      </ns0:c>
      <ns0:c r="B423" s="8" t="str">
        <ns0:v>Propellant Fill Connection</ns0:v>
      </ns0:c>
      <ns0:c r="C423" s="8" t="str">
        <ns0:v>Ground Interface / Ground Interface</ns0:v>
      </ns0:c>
      <ns0:c r="D423" s="8" t="str">
        <ns0:v>Rocket component</ns0:v>
      </ns0:c>
      <ns0:c r="E423" s="8" t="str">
        <ns0:v>Connects ground propellant-loading equipment to the vehicle.</ns0:v>
      </ns0:c>
      <ns0:c r="F423" s="9" t="str">
        <ns0:f>HYPERLINK("https://physics.aimersociety.com/rocket-lab/parts/propellant-fill-connection","https://physics.aimersociety.com/rocket-lab/parts/propellant-fill-connection")</ns0:f>
        <ns0:v>https://physics.aimersociety.com/rocket-lab/parts/propellant-fill-connection</ns0:v>
      </ns0:c>
      <ns0:c r="G423" s="8" t="str">
        <ns0:v>/rocket-lab/parts/propellant-fill-connection</ns0:v>
      </ns0:c>
      <ns0:c r="H423" s="8" t="str">
        <ns0:v>src/data/rocketParts/index.ts</ns0:v>
      </ns0:c>
      <ns0:c r="I423" s="8" t="str"/>
    </ns0:row>
    <ns0:row r="424" ht="82" customHeight="1">
      <ns0:c r="A424" s="8" t="n">
        <ns0:v>418</ns0:v>
      </ns0:c>
      <ns0:c r="B424" s="8" t="str">
        <ns0:v>Quick-Disconnect Coupling</ns0:v>
      </ns0:c>
      <ns0:c r="C424" s="8" t="str">
        <ns0:v>Ground Interface / Ground Interface</ns0:v>
      </ns0:c>
      <ns0:c r="D424" s="8" t="str">
        <ns0:v>Rocket component</ns0:v>
      </ns0:c>
      <ns0:c r="E424" s="8" t="str">
        <ns0:v>Allows a service line to disconnect rapidly while limiting leakage.</ns0:v>
      </ns0:c>
      <ns0:c r="F424" s="9" t="str">
        <ns0:f>HYPERLINK("https://physics.aimersociety.com/rocket-lab/parts/quick-disconnect-coupling","https://physics.aimersociety.com/rocket-lab/parts/quick-disconnect-coupling")</ns0:f>
        <ns0:v>https://physics.aimersociety.com/rocket-lab/parts/quick-disconnect-coupling</ns0:v>
      </ns0:c>
      <ns0:c r="G424" s="8" t="str">
        <ns0:v>/rocket-lab/parts/quick-disconnect-coupling</ns0:v>
      </ns0:c>
      <ns0:c r="H424" s="8" t="str">
        <ns0:v>src/data/rocketParts/index.ts</ns0:v>
      </ns0:c>
      <ns0:c r="I424" s="8" t="str"/>
    </ns0:row>
    <ns0:row r="425" ht="82" customHeight="1">
      <ns0:c r="A425" s="8" t="n">
        <ns0:v>419</ns0:v>
      </ns0:c>
      <ns0:c r="B425" s="8" t="str">
        <ns0:v>Strongback or Transporter-Erector</ns0:v>
      </ns0:c>
      <ns0:c r="C425" s="8" t="str">
        <ns0:v>Ground Interface / Ground Interface</ns0:v>
      </ns0:c>
      <ns0:c r="D425" s="8" t="str">
        <ns0:v>Rocket component</ns0:v>
      </ns0:c>
      <ns0:c r="E425" s="8" t="str">
        <ns0:v>Supports, transports, raises, or stabilizes the vehicle.</ns0:v>
      </ns0:c>
      <ns0:c r="F425" s="9" t="str">
        <ns0:f>HYPERLINK("https://physics.aimersociety.com/rocket-lab/parts/strongback-or-transporter-erector","https://physics.aimersociety.com/rocket-lab/parts/strongback-or-transporter-erector")</ns0:f>
        <ns0:v>https://physics.aimersociety.com/rocket-lab/parts/strongback-or-transporter-erector</ns0:v>
      </ns0:c>
      <ns0:c r="G425" s="8" t="str">
        <ns0:v>/rocket-lab/parts/strongback-or-transporter-erector</ns0:v>
      </ns0:c>
      <ns0:c r="H425" s="8" t="str">
        <ns0:v>src/data/rocketParts/index.ts</ns0:v>
      </ns0:c>
      <ns0:c r="I425" s="8" t="str"/>
    </ns0:row>
    <ns0:row r="426" ht="82" customHeight="1">
      <ns0:c r="A426" s="8" t="n">
        <ns0:v>420</ns0:v>
      </ns0:c>
      <ns0:c r="B426" s="8" t="str">
        <ns0:v>Tail-Service Mast</ns0:v>
      </ns0:c>
      <ns0:c r="C426" s="8" t="str">
        <ns0:v>Ground Interface / Ground Interface</ns0:v>
      </ns0:c>
      <ns0:c r="D426" s="8" t="str">
        <ns0:v>Rocket component</ns0:v>
      </ns0:c>
      <ns0:c r="E426" s="8" t="str">
        <ns0:v>Routes propellants, gases, power, and data to the lower vehicle.</ns0:v>
      </ns0:c>
      <ns0:c r="F426" s="9" t="str">
        <ns0:f>HYPERLINK("https://physics.aimersociety.com/rocket-lab/parts/tail-service-mast","https://physics.aimersociety.com/rocket-lab/parts/tail-service-mast")</ns0:f>
        <ns0:v>https://physics.aimersociety.com/rocket-lab/parts/tail-service-mast</ns0:v>
      </ns0:c>
      <ns0:c r="G426" s="8" t="str">
        <ns0:v>/rocket-lab/parts/tail-service-mast</ns0:v>
      </ns0:c>
      <ns0:c r="H426" s="8" t="str">
        <ns0:v>src/data/rocketParts/index.ts</ns0:v>
      </ns0:c>
      <ns0:c r="I426" s="8" t="str"/>
    </ns0:row>
    <ns0:row r="427" ht="82" customHeight="1">
      <ns0:c r="A427" s="8" t="n">
        <ns0:v>421</ns0:v>
      </ns0:c>
      <ns0:c r="B427" s="8" t="str">
        <ns0:v>Umbilical</ns0:v>
      </ns0:c>
      <ns0:c r="C427" s="8" t="str">
        <ns0:v>Ground Interface / Ground Interface</ns0:v>
      </ns0:c>
      <ns0:c r="D427" s="8" t="str">
        <ns0:v>Rocket component</ns0:v>
      </ns0:c>
      <ns0:c r="E427" s="8" t="str">
        <ns0:v>Connects the vehicle to ground power, communications, fluids, or environmental services.</ns0:v>
      </ns0:c>
      <ns0:c r="F427" s="9" t="str">
        <ns0:f>HYPERLINK("https://physics.aimersociety.com/rocket-lab/parts/umbilical","https://physics.aimersociety.com/rocket-lab/parts/umbilical")</ns0:f>
        <ns0:v>https://physics.aimersociety.com/rocket-lab/parts/umbilical</ns0:v>
      </ns0:c>
      <ns0:c r="G427" s="8" t="str">
        <ns0:v>/rocket-lab/parts/umbilical</ns0:v>
      </ns0:c>
      <ns0:c r="H427" s="8" t="str">
        <ns0:v>src/data/rocketParts/index.ts</ns0:v>
      </ns0:c>
      <ns0:c r="I427" s="8" t="str"/>
    </ns0:row>
    <ns0:row r="428" ht="82" customHeight="1">
      <ns0:c r="A428" s="8" t="n">
        <ns0:v>422</ns0:v>
      </ns0:c>
      <ns0:c r="B428" s="8" t="str">
        <ns0:v>Umbilical Disconnect</ns0:v>
      </ns0:c>
      <ns0:c r="C428" s="8" t="str">
        <ns0:v>Ground Interface / Ground Interface</ns0:v>
      </ns0:c>
      <ns0:c r="D428" s="8" t="str">
        <ns0:v>Rocket component</ns0:v>
      </ns0:c>
      <ns0:c r="E428" s="8" t="str">
        <ns0:v>Releases ground connections during the launch sequence.</ns0:v>
      </ns0:c>
      <ns0:c r="F428" s="9" t="str">
        <ns0:f>HYPERLINK("https://physics.aimersociety.com/rocket-lab/parts/umbilical-disconnect","https://physics.aimersociety.com/rocket-lab/parts/umbilical-disconnect")</ns0:f>
        <ns0:v>https://physics.aimersociety.com/rocket-lab/parts/umbilical-disconnect</ns0:v>
      </ns0:c>
      <ns0:c r="G428" s="8" t="str">
        <ns0:v>/rocket-lab/parts/umbilical-disconnect</ns0:v>
      </ns0:c>
      <ns0:c r="H428" s="8" t="str">
        <ns0:v>src/data/rocketParts/index.ts</ns0:v>
      </ns0:c>
      <ns0:c r="I428" s="8" t="str"/>
    </ns0:row>
    <ns0:row r="429" ht="82" customHeight="1">
      <ns0:c r="A429" s="8" t="n">
        <ns0:v>423</ns0:v>
      </ns0:c>
      <ns0:c r="B429" s="8" t="str">
        <ns0:v>Water-Suppression Interface</ns0:v>
      </ns0:c>
      <ns0:c r="C429" s="8" t="str">
        <ns0:v>Ground Interface / Ground Interface</ns0:v>
      </ns0:c>
      <ns0:c r="D429" s="8" t="str">
        <ns0:v>Rocket component</ns0:v>
      </ns0:c>
      <ns0:c r="E429" s="8" t="str">
        <ns0:v>Supports water systems used to manage acoustic energy and heat at the pad.</ns0:v>
      </ns0:c>
      <ns0:c r="F429" s="9" t="str">
        <ns0:f>HYPERLINK("https://physics.aimersociety.com/rocket-lab/parts/water-suppression-interface","https://physics.aimersociety.com/rocket-lab/parts/water-suppression-interface")</ns0:f>
        <ns0:v>https://physics.aimersociety.com/rocket-lab/parts/water-suppression-interface</ns0:v>
      </ns0:c>
      <ns0:c r="G429" s="8" t="str">
        <ns0:v>/rocket-lab/parts/water-suppression-interface</ns0:v>
      </ns0:c>
      <ns0:c r="H429" s="8" t="str">
        <ns0:v>src/data/rocketParts/index.ts</ns0:v>
      </ns0:c>
      <ns0:c r="I429" s="8" t="str"/>
    </ns0:row>
    <ns0:row r="430" ht="82" customHeight="1">
      <ns0:c r="A430" s="8" t="n">
        <ns0:v>424</ns0:v>
      </ns0:c>
      <ns0:c r="B430" s="8" t="str">
        <ns0:v>Accelerometer</ns0:v>
      </ns0:c>
      <ns0:c r="C430" s="8" t="str">
        <ns0:v>Guidance, Navigation &amp; Control / Guidance, Navigation &amp; Control</ns0:v>
      </ns0:c>
      <ns0:c r="D430" s="8" t="str">
        <ns0:v>Rocket component</ns0:v>
      </ns0:c>
      <ns0:c r="E430" s="8" t="str">
        <ns0:v>Measures specific force along one or more axes.</ns0:v>
      </ns0:c>
      <ns0:c r="F430" s="9" t="str">
        <ns0:f>HYPERLINK("https://physics.aimersociety.com/rocket-lab/parts/accelerometer","https://physics.aimersociety.com/rocket-lab/parts/accelerometer")</ns0:f>
        <ns0:v>https://physics.aimersociety.com/rocket-lab/parts/accelerometer</ns0:v>
      </ns0:c>
      <ns0:c r="G430" s="8" t="str">
        <ns0:v>/rocket-lab/parts/accelerometer</ns0:v>
      </ns0:c>
      <ns0:c r="H430" s="8" t="str">
        <ns0:v>src/data/rocketParts/index.ts</ns0:v>
      </ns0:c>
      <ns0:c r="I430" s="8" t="str"/>
    </ns0:row>
    <ns0:row r="431" ht="82" customHeight="1">
      <ns0:c r="A431" s="8" t="n">
        <ns0:v>425</ns0:v>
      </ns0:c>
      <ns0:c r="B431" s="8" t="str">
        <ns0:v>Attitude-Control System</ns0:v>
      </ns0:c>
      <ns0:c r="C431" s="8" t="str">
        <ns0:v>Guidance, Navigation &amp; Control / Guidance, Navigation &amp; Control</ns0:v>
      </ns0:c>
      <ns0:c r="D431" s="8" t="str">
        <ns0:v>Rocket component</ns0:v>
      </ns0:c>
      <ns0:c r="E431" s="8" t="str">
        <ns0:v>Controls vehicle orientation.</ns0:v>
      </ns0:c>
      <ns0:c r="F431" s="9" t="str">
        <ns0:f>HYPERLINK("https://physics.aimersociety.com/rocket-lab/parts/attitude-control-system","https://physics.aimersociety.com/rocket-lab/parts/attitude-control-system")</ns0:f>
        <ns0:v>https://physics.aimersociety.com/rocket-lab/parts/attitude-control-system</ns0:v>
      </ns0:c>
      <ns0:c r="G431" s="8" t="str">
        <ns0:v>/rocket-lab/parts/attitude-control-system</ns0:v>
      </ns0:c>
      <ns0:c r="H431" s="8" t="str">
        <ns0:v>src/data/rocketParts/index.ts</ns0:v>
      </ns0:c>
      <ns0:c r="I431" s="8" t="str"/>
    </ns0:row>
    <ns0:row r="432" ht="82" customHeight="1">
      <ns0:c r="A432" s="8" t="n">
        <ns0:v>426</ns0:v>
      </ns0:c>
      <ns0:c r="B432" s="8" t="str">
        <ns0:v>Control Allocation Module</ns0:v>
      </ns0:c>
      <ns0:c r="C432" s="8" t="str">
        <ns0:v>Guidance, Navigation &amp; Control / Guidance, Navigation &amp; Control</ns0:v>
      </ns0:c>
      <ns0:c r="D432" s="8" t="str">
        <ns0:v>Rocket component</ns0:v>
      </ns0:c>
      <ns0:c r="E432" s="8" t="str">
        <ns0:v>Distributes control commands among engines, fins, or thrusters.</ns0:v>
      </ns0:c>
      <ns0:c r="F432" s="9" t="str">
        <ns0:f>HYPERLINK("https://physics.aimersociety.com/rocket-lab/parts/control-allocation-module","https://physics.aimersociety.com/rocket-lab/parts/control-allocation-module")</ns0:f>
        <ns0:v>https://physics.aimersociety.com/rocket-lab/parts/control-allocation-module</ns0:v>
      </ns0:c>
      <ns0:c r="G432" s="8" t="str">
        <ns0:v>/rocket-lab/parts/control-allocation-module</ns0:v>
      </ns0:c>
      <ns0:c r="H432" s="8" t="str">
        <ns0:v>src/data/rocketParts/index.ts</ns0:v>
      </ns0:c>
      <ns0:c r="I432" s="8" t="str"/>
    </ns0:row>
    <ns0:row r="433" ht="82" customHeight="1">
      <ns0:c r="A433" s="8" t="n">
        <ns0:v>427</ns0:v>
      </ns0:c>
      <ns0:c r="B433" s="8" t="str">
        <ns0:v>Flight-Control Computer</ns0:v>
      </ns0:c>
      <ns0:c r="C433" s="8" t="str">
        <ns0:v>Guidance, Navigation &amp; Control / Guidance, Navigation &amp; Control</ns0:v>
      </ns0:c>
      <ns0:c r="D433" s="8" t="str">
        <ns0:v>Rocket component</ns0:v>
      </ns0:c>
      <ns0:c r="E433" s="8" t="str">
        <ns0:v>Converts guidance commands into actuator commands while maintaining stability.</ns0:v>
      </ns0:c>
      <ns0:c r="F433" s="9" t="str">
        <ns0:f>HYPERLINK("https://physics.aimersociety.com/rocket-lab/parts/flight-control-computer","https://physics.aimersociety.com/rocket-lab/parts/flight-control-computer")</ns0:f>
        <ns0:v>https://physics.aimersociety.com/rocket-lab/parts/flight-control-computer</ns0:v>
      </ns0:c>
      <ns0:c r="G433" s="8" t="str">
        <ns0:v>/rocket-lab/parts/flight-control-computer</ns0:v>
      </ns0:c>
      <ns0:c r="H433" s="8" t="str">
        <ns0:v>src/data/rocketParts/index.ts</ns0:v>
      </ns0:c>
      <ns0:c r="I433" s="8" t="str"/>
    </ns0:row>
    <ns0:row r="434" ht="82" customHeight="1">
      <ns0:c r="A434" s="8" t="n">
        <ns0:v>428</ns0:v>
      </ns0:c>
      <ns0:c r="B434" s="8" t="str">
        <ns0:v>GNSS or GPS Receiver</ns0:v>
      </ns0:c>
      <ns0:c r="C434" s="8" t="str">
        <ns0:v>Guidance, Navigation &amp; Control / Guidance, Navigation &amp; Control</ns0:v>
      </ns0:c>
      <ns0:c r="D434" s="8" t="str">
        <ns0:v>Rocket component</ns0:v>
      </ns0:c>
      <ns0:c r="E434" s="8" t="str">
        <ns0:v>Provides satellite-based position, velocity, and timing when available.</ns0:v>
      </ns0:c>
      <ns0:c r="F434" s="9" t="str">
        <ns0:f>HYPERLINK("https://physics.aimersociety.com/rocket-lab/parts/gnss-or-gps-receiver","https://physics.aimersociety.com/rocket-lab/parts/gnss-or-gps-receiver")</ns0:f>
        <ns0:v>https://physics.aimersociety.com/rocket-lab/parts/gnss-or-gps-receiver</ns0:v>
      </ns0:c>
      <ns0:c r="G434" s="8" t="str">
        <ns0:v>/rocket-lab/parts/gnss-or-gps-receiver</ns0:v>
      </ns0:c>
      <ns0:c r="H434" s="8" t="str">
        <ns0:v>src/data/rocketParts/index.ts</ns0:v>
      </ns0:c>
      <ns0:c r="I434" s="8" t="str"/>
    </ns0:row>
    <ns0:row r="435" ht="82" customHeight="1">
      <ns0:c r="A435" s="8" t="n">
        <ns0:v>429</ns0:v>
      </ns0:c>
      <ns0:c r="B435" s="8" t="str">
        <ns0:v>Guidance Computer</ns0:v>
      </ns0:c>
      <ns0:c r="C435" s="8" t="str">
        <ns0:v>Guidance, Navigation &amp; Control / Guidance, Navigation &amp; Control</ns0:v>
      </ns0:c>
      <ns0:c r="D435" s="8" t="str">
        <ns0:v>Rocket component</ns0:v>
      </ns0:c>
      <ns0:c r="E435" s="8" t="str">
        <ns0:v>Determines the desired trajectory and steering commands.</ns0:v>
      </ns0:c>
      <ns0:c r="F435" s="9" t="str">
        <ns0:f>HYPERLINK("https://physics.aimersociety.com/rocket-lab/parts/guidance-computer","https://physics.aimersociety.com/rocket-lab/parts/guidance-computer")</ns0:f>
        <ns0:v>https://physics.aimersociety.com/rocket-lab/parts/guidance-computer</ns0:v>
      </ns0:c>
      <ns0:c r="G435" s="8" t="str">
        <ns0:v>/rocket-lab/parts/guidance-computer</ns0:v>
      </ns0:c>
      <ns0:c r="H435" s="8" t="str">
        <ns0:v>src/data/rocketParts/index.ts</ns0:v>
      </ns0:c>
      <ns0:c r="I435" s="8" t="str"/>
    </ns0:row>
    <ns0:row r="436" ht="82" customHeight="1">
      <ns0:c r="A436" s="8" t="n">
        <ns0:v>430</ns0:v>
      </ns0:c>
      <ns0:c r="B436" s="8" t="str">
        <ns0:v>Gyroscope</ns0:v>
      </ns0:c>
      <ns0:c r="C436" s="8" t="str">
        <ns0:v>Guidance, Navigation &amp; Control / Guidance, Navigation &amp; Control</ns0:v>
      </ns0:c>
      <ns0:c r="D436" s="8" t="str">
        <ns0:v>Rocket component</ns0:v>
      </ns0:c>
      <ns0:c r="E436" s="8" t="str">
        <ns0:v>Measures rotational motion or angular rate.</ns0:v>
      </ns0:c>
      <ns0:c r="F436" s="9" t="str">
        <ns0:f>HYPERLINK("https://physics.aimersociety.com/rocket-lab/parts/gyroscope","https://physics.aimersociety.com/rocket-lab/parts/gyroscope")</ns0:f>
        <ns0:v>https://physics.aimersociety.com/rocket-lab/parts/gyroscope</ns0:v>
      </ns0:c>
      <ns0:c r="G436" s="8" t="str">
        <ns0:v>/rocket-lab/parts/gyroscope</ns0:v>
      </ns0:c>
      <ns0:c r="H436" s="8" t="str">
        <ns0:v>src/data/rocketParts/index.ts</ns0:v>
      </ns0:c>
      <ns0:c r="I436" s="8" t="str"/>
    </ns0:row>
    <ns0:row r="437" ht="82" customHeight="1">
      <ns0:c r="A437" s="8" t="n">
        <ns0:v>431</ns0:v>
      </ns0:c>
      <ns0:c r="B437" s="8" t="str">
        <ns0:v>Inertial Measurement Unit</ns0:v>
      </ns0:c>
      <ns0:c r="C437" s="8" t="str">
        <ns0:v>Guidance, Navigation &amp; Control / Guidance, Navigation &amp; Control</ns0:v>
      </ns0:c>
      <ns0:c r="D437" s="8" t="str">
        <ns0:v>Rocket component</ns0:v>
      </ns0:c>
      <ns0:c r="E437" s="8" t="str">
        <ns0:v>Measures angular motion and linear acceleration.</ns0:v>
      </ns0:c>
      <ns0:c r="F437" s="9" t="str">
        <ns0:f>HYPERLINK("https://physics.aimersociety.com/rocket-lab/parts/inertial-measurement-unit","https://physics.aimersociety.com/rocket-lab/parts/inertial-measurement-unit")</ns0:f>
        <ns0:v>https://physics.aimersociety.com/rocket-lab/parts/inertial-measurement-unit</ns0:v>
      </ns0:c>
      <ns0:c r="G437" s="8" t="str">
        <ns0:v>/rocket-lab/parts/inertial-measurement-unit</ns0:v>
      </ns0:c>
      <ns0:c r="H437" s="8" t="str">
        <ns0:v>src/data/rocketParts/index.ts</ns0:v>
      </ns0:c>
      <ns0:c r="I437" s="8" t="str"/>
    </ns0:row>
    <ns0:row r="438" ht="82" customHeight="1">
      <ns0:c r="A438" s="8" t="n">
        <ns0:v>432</ns0:v>
      </ns0:c>
      <ns0:c r="B438" s="8" t="str">
        <ns0:v>Inertial Navigation System</ns0:v>
      </ns0:c>
      <ns0:c r="C438" s="8" t="str">
        <ns0:v>Guidance, Navigation &amp; Control / Guidance, Navigation &amp; Control</ns0:v>
      </ns0:c>
      <ns0:c r="D438" s="8" t="str">
        <ns0:v>Rocket component</ns0:v>
      </ns0:c>
      <ns0:c r="E438" s="8" t="str">
        <ns0:v>Estimates position, velocity, and attitude using inertial measurements.</ns0:v>
      </ns0:c>
      <ns0:c r="F438" s="9" t="str">
        <ns0:f>HYPERLINK("https://physics.aimersociety.com/rocket-lab/parts/inertial-navigation-system","https://physics.aimersociety.com/rocket-lab/parts/inertial-navigation-system")</ns0:f>
        <ns0:v>https://physics.aimersociety.com/rocket-lab/parts/inertial-navigation-system</ns0:v>
      </ns0:c>
      <ns0:c r="G438" s="8" t="str">
        <ns0:v>/rocket-lab/parts/inertial-navigation-system</ns0:v>
      </ns0:c>
      <ns0:c r="H438" s="8" t="str">
        <ns0:v>src/data/rocketParts/index.ts</ns0:v>
      </ns0:c>
      <ns0:c r="I438" s="8" t="str"/>
    </ns0:row>
    <ns0:row r="439" ht="82" customHeight="1">
      <ns0:c r="A439" s="8" t="n">
        <ns0:v>433</ns0:v>
      </ns0:c>
      <ns0:c r="B439" s="8" t="str">
        <ns0:v>Magnetometer</ns0:v>
      </ns0:c>
      <ns0:c r="C439" s="8" t="str">
        <ns0:v>Guidance, Navigation &amp; Control / Guidance, Navigation &amp; Control</ns0:v>
      </ns0:c>
      <ns0:c r="D439" s="8" t="str">
        <ns0:v>Rocket component</ns0:v>
      </ns0:c>
      <ns0:c r="E439" s="8" t="str">
        <ns0:v>Measures the local magnetic field to support attitude determination.</ns0:v>
      </ns0:c>
      <ns0:c r="F439" s="9" t="str">
        <ns0:f>HYPERLINK("https://physics.aimersociety.com/rocket-lab/parts/magnetometer","https://physics.aimersociety.com/rocket-lab/parts/magnetometer")</ns0:f>
        <ns0:v>https://physics.aimersociety.com/rocket-lab/parts/magnetometer</ns0:v>
      </ns0:c>
      <ns0:c r="G439" s="8" t="str">
        <ns0:v>/rocket-lab/parts/magnetometer</ns0:v>
      </ns0:c>
      <ns0:c r="H439" s="8" t="str">
        <ns0:v>src/data/rocketParts/index.ts</ns0:v>
      </ns0:c>
      <ns0:c r="I439" s="8" t="str"/>
    </ns0:row>
    <ns0:row r="440" ht="82" customHeight="1">
      <ns0:c r="A440" s="8" t="n">
        <ns0:v>434</ns0:v>
      </ns0:c>
      <ns0:c r="B440" s="8" t="str">
        <ns0:v>Navigation Computer</ns0:v>
      </ns0:c>
      <ns0:c r="C440" s="8" t="str">
        <ns0:v>Guidance, Navigation &amp; Control / Guidance, Navigation &amp; Control</ns0:v>
      </ns0:c>
      <ns0:c r="D440" s="8" t="str">
        <ns0:v>Rocket component</ns0:v>
      </ns0:c>
      <ns0:c r="E440" s="8" t="str">
        <ns0:v>Combines measurements to estimate the vehicle state.</ns0:v>
      </ns0:c>
      <ns0:c r="F440" s="9" t="str">
        <ns0:f>HYPERLINK("https://physics.aimersociety.com/rocket-lab/parts/navigation-computer","https://physics.aimersociety.com/rocket-lab/parts/navigation-computer")</ns0:f>
        <ns0:v>https://physics.aimersociety.com/rocket-lab/parts/navigation-computer</ns0:v>
      </ns0:c>
      <ns0:c r="G440" s="8" t="str">
        <ns0:v>/rocket-lab/parts/navigation-computer</ns0:v>
      </ns0:c>
      <ns0:c r="H440" s="8" t="str">
        <ns0:v>src/data/rocketParts/index.ts</ns0:v>
      </ns0:c>
      <ns0:c r="I440" s="8" t="str"/>
    </ns0:row>
    <ns0:row r="441" ht="82" customHeight="1">
      <ns0:c r="A441" s="8" t="n">
        <ns0:v>435</ns0:v>
      </ns0:c>
      <ns0:c r="B441" s="8" t="str">
        <ns0:v>Radar Altimeter</ns0:v>
      </ns0:c>
      <ns0:c r="C441" s="8" t="str">
        <ns0:v>Guidance, Navigation &amp; Control / Guidance, Navigation &amp; Control</ns0:v>
      </ns0:c>
      <ns0:c r="D441" s="8" t="str">
        <ns0:v>Rocket component</ns0:v>
      </ns0:c>
      <ns0:c r="E441" s="8" t="str">
        <ns0:v>Measures altitude above a surface using radar.</ns0:v>
      </ns0:c>
      <ns0:c r="F441" s="9" t="str">
        <ns0:f>HYPERLINK("https://physics.aimersociety.com/rocket-lab/parts/radar-altimeter","https://physics.aimersociety.com/rocket-lab/parts/radar-altimeter")</ns0:f>
        <ns0:v>https://physics.aimersociety.com/rocket-lab/parts/radar-altimeter</ns0:v>
      </ns0:c>
      <ns0:c r="G441" s="8" t="str">
        <ns0:v>/rocket-lab/parts/radar-altimeter</ns0:v>
      </ns0:c>
      <ns0:c r="H441" s="8" t="str">
        <ns0:v>src/data/rocketParts/index.ts</ns0:v>
      </ns0:c>
      <ns0:c r="I441" s="8" t="str"/>
    </ns0:row>
    <ns0:row r="442" ht="82" customHeight="1">
      <ns0:c r="A442" s="8" t="n">
        <ns0:v>436</ns0:v>
      </ns0:c>
      <ns0:c r="B442" s="8" t="str">
        <ns0:v>Reaction-Control Propellant Tank</ns0:v>
      </ns0:c>
      <ns0:c r="C442" s="8" t="str">
        <ns0:v>Guidance, Navigation &amp; Control / Guidance, Navigation &amp; Control</ns0:v>
      </ns0:c>
      <ns0:c r="D442" s="8" t="str">
        <ns0:v>Rocket component</ns0:v>
      </ns0:c>
      <ns0:c r="E442" s="8" t="str">
        <ns0:v>Stores propellant used by attitude-control thrusters.</ns0:v>
      </ns0:c>
      <ns0:c r="F442" s="9" t="str">
        <ns0:f>HYPERLINK("https://physics.aimersociety.com/rocket-lab/parts/reaction-control-propellant-tank","https://physics.aimersociety.com/rocket-lab/parts/reaction-control-propellant-tank")</ns0:f>
        <ns0:v>https://physics.aimersociety.com/rocket-lab/parts/reaction-control-propellant-tank</ns0:v>
      </ns0:c>
      <ns0:c r="G442" s="8" t="str">
        <ns0:v>/rocket-lab/parts/reaction-control-propellant-tank</ns0:v>
      </ns0:c>
      <ns0:c r="H442" s="8" t="str">
        <ns0:v>src/data/rocketParts/index.ts</ns0:v>
      </ns0:c>
      <ns0:c r="I442" s="8" t="str"/>
    </ns0:row>
    <ns0:row r="443" ht="82" customHeight="1">
      <ns0:c r="A443" s="8" t="n">
        <ns0:v>437</ns0:v>
      </ns0:c>
      <ns0:c r="B443" s="8" t="str">
        <ns0:v>Reaction-Control Thruster</ns0:v>
      </ns0:c>
      <ns0:c r="C443" s="8" t="str">
        <ns0:v>Guidance, Navigation &amp; Control / Guidance, Navigation &amp; Control</ns0:v>
      </ns0:c>
      <ns0:c r="D443" s="8" t="str">
        <ns0:v>Rocket component</ns0:v>
      </ns0:c>
      <ns0:c r="E443" s="8" t="str">
        <ns0:v>Produces small forces or torques for attitude control outside dense atmosphere.</ns0:v>
      </ns0:c>
      <ns0:c r="F443" s="9" t="str">
        <ns0:f>HYPERLINK("https://physics.aimersociety.com/rocket-lab/parts/reaction-control-thruster","https://physics.aimersociety.com/rocket-lab/parts/reaction-control-thruster")</ns0:f>
        <ns0:v>https://physics.aimersociety.com/rocket-lab/parts/reaction-control-thruster</ns0:v>
      </ns0:c>
      <ns0:c r="G443" s="8" t="str">
        <ns0:v>/rocket-lab/parts/reaction-control-thruster</ns0:v>
      </ns0:c>
      <ns0:c r="H443" s="8" t="str">
        <ns0:v>src/data/rocketParts/index.ts</ns0:v>
      </ns0:c>
      <ns0:c r="I443" s="8" t="str"/>
    </ns0:row>
    <ns0:row r="444" ht="82" customHeight="1">
      <ns0:c r="A444" s="8" t="n">
        <ns0:v>438</ns0:v>
      </ns0:c>
      <ns0:c r="B444" s="8" t="str">
        <ns0:v>Star Tracker</ns0:v>
      </ns0:c>
      <ns0:c r="C444" s="8" t="str">
        <ns0:v>Guidance, Navigation &amp; Control / Guidance, Navigation &amp; Control</ns0:v>
      </ns0:c>
      <ns0:c r="D444" s="8" t="str">
        <ns0:v>Rocket component</ns0:v>
      </ns0:c>
      <ns0:c r="E444" s="8" t="str">
        <ns0:v>Determines spacecraft orientation by observing star patterns.</ns0:v>
      </ns0:c>
      <ns0:c r="F444" s="9" t="str">
        <ns0:f>HYPERLINK("https://physics.aimersociety.com/rocket-lab/parts/star-tracker","https://physics.aimersociety.com/rocket-lab/parts/star-tracker")</ns0:f>
        <ns0:v>https://physics.aimersociety.com/rocket-lab/parts/star-tracker</ns0:v>
      </ns0:c>
      <ns0:c r="G444" s="8" t="str">
        <ns0:v>/rocket-lab/parts/star-tracker</ns0:v>
      </ns0:c>
      <ns0:c r="H444" s="8" t="str">
        <ns0:v>src/data/rocketParts/index.ts</ns0:v>
      </ns0:c>
      <ns0:c r="I444" s="8" t="str"/>
    </ns0:row>
    <ns0:row r="445" ht="82" customHeight="1">
      <ns0:c r="A445" s="8" t="n">
        <ns0:v>439</ns0:v>
      </ns0:c>
      <ns0:c r="B445" s="8" t="str">
        <ns0:v>Sun Sensor</ns0:v>
      </ns0:c>
      <ns0:c r="C445" s="8" t="str">
        <ns0:v>Guidance, Navigation &amp; Control / Guidance, Navigation &amp; Control</ns0:v>
      </ns0:c>
      <ns0:c r="D445" s="8" t="str">
        <ns0:v>Rocket component</ns0:v>
      </ns0:c>
      <ns0:c r="E445" s="8" t="str">
        <ns0:v>Determines the direction of the Sun for attitude knowledge or safe-mode control.</ns0:v>
      </ns0:c>
      <ns0:c r="F445" s="9" t="str">
        <ns0:f>HYPERLINK("https://physics.aimersociety.com/rocket-lab/parts/sun-sensor","https://physics.aimersociety.com/rocket-lab/parts/sun-sensor")</ns0:f>
        <ns0:v>https://physics.aimersociety.com/rocket-lab/parts/sun-sensor</ns0:v>
      </ns0:c>
      <ns0:c r="G445" s="8" t="str">
        <ns0:v>/rocket-lab/parts/sun-sensor</ns0:v>
      </ns0:c>
      <ns0:c r="H445" s="8" t="str">
        <ns0:v>src/data/rocketParts/index.ts</ns0:v>
      </ns0:c>
      <ns0:c r="I445" s="8" t="str"/>
    </ns0:row>
    <ns0:row r="446" ht="82" customHeight="1">
      <ns0:c r="A446" s="8" t="n">
        <ns0:v>440</ns0:v>
      </ns0:c>
      <ns0:c r="B446" s="8" t="str">
        <ns0:v>Crew Module Interface</ns0:v>
      </ns0:c>
      <ns0:c r="C446" s="8" t="str">
        <ns0:v>Payload System / Payload</ns0:v>
      </ns0:c>
      <ns0:c r="D446" s="8" t="str">
        <ns0:v>Rocket component</ns0:v>
      </ns0:c>
      <ns0:c r="E446" s="8" t="str">
        <ns0:v>Connects a crewed spacecraft to the launch vehicle and carries structural, electrical, communication, and environmental interfaces.</ns0:v>
      </ns0:c>
      <ns0:c r="F446" s="9" t="str">
        <ns0:f>HYPERLINK("https://physics.aimersociety.com/rocket-lab/parts/crew-module-interface","https://physics.aimersociety.com/rocket-lab/parts/crew-module-interface")</ns0:f>
        <ns0:v>https://physics.aimersociety.com/rocket-lab/parts/crew-module-interface</ns0:v>
      </ns0:c>
      <ns0:c r="G446" s="8" t="str">
        <ns0:v>/rocket-lab/parts/crew-module-interface</ns0:v>
      </ns0:c>
      <ns0:c r="H446" s="8" t="str">
        <ns0:v>src/data/rocketParts/index.ts</ns0:v>
      </ns0:c>
      <ns0:c r="I446" s="8" t="str"/>
    </ns0:row>
    <ns0:row r="447" ht="82" customHeight="1">
      <ns0:c r="A447" s="8" t="n">
        <ns0:v>441</ns0:v>
      </ns0:c>
      <ns0:c r="B447" s="8" t="str">
        <ns0:v>CubeSat Deployer</ns0:v>
      </ns0:c>
      <ns0:c r="C447" s="8" t="str">
        <ns0:v>Payload System / Payload</ns0:v>
      </ns0:c>
      <ns0:c r="D447" s="8" t="str">
        <ns0:v>Rocket component</ns0:v>
      </ns0:c>
      <ns0:c r="E447" s="8" t="str">
        <ns0:v>Safely contains and ejects CubeSats after reaching the required deployment condition.</ns0:v>
      </ns0:c>
      <ns0:c r="F447" s="9" t="str">
        <ns0:f>HYPERLINK("https://physics.aimersociety.com/rocket-lab/parts/cubesat-deployer","https://physics.aimersociety.com/rocket-lab/parts/cubesat-deployer")</ns0:f>
        <ns0:v>https://physics.aimersociety.com/rocket-lab/parts/cubesat-deployer</ns0:v>
      </ns0:c>
      <ns0:c r="G447" s="8" t="str">
        <ns0:v>/rocket-lab/parts/cubesat-deployer</ns0:v>
      </ns0:c>
      <ns0:c r="H447" s="8" t="str">
        <ns0:v>src/data/rocketParts/index.ts</ns0:v>
      </ns0:c>
      <ns0:c r="I447" s="8" t="str"/>
    </ns0:row>
    <ns0:row r="448" ht="82" customHeight="1">
      <ns0:c r="A448" s="8" t="n">
        <ns0:v>442</ns0:v>
      </ns0:c>
      <ns0:c r="B448" s="8" t="str">
        <ns0:v>Fairing Half or Fairing Shell</ns0:v>
      </ns0:c>
      <ns0:c r="C448" s="8" t="str">
        <ns0:v>Payload System / Payload</ns0:v>
      </ns0:c>
      <ns0:c r="D448" s="8" t="str">
        <ns0:v>Rocket component</ns0:v>
      </ns0:c>
      <ns0:c r="E448" s="8" t="str">
        <ns0:v>One side of the separable aerodynamic enclosure surrounding the payload.</ns0:v>
      </ns0:c>
      <ns0:c r="F448" s="9" t="str">
        <ns0:f>HYPERLINK("https://physics.aimersociety.com/rocket-lab/parts/fairing-half-or-fairing-shell","https://physics.aimersociety.com/rocket-lab/parts/fairing-half-or-fairing-shell")</ns0:f>
        <ns0:v>https://physics.aimersociety.com/rocket-lab/parts/fairing-half-or-fairing-shell</ns0:v>
      </ns0:c>
      <ns0:c r="G448" s="8" t="str">
        <ns0:v>/rocket-lab/parts/fairing-half-or-fairing-shell</ns0:v>
      </ns0:c>
      <ns0:c r="H448" s="8" t="str">
        <ns0:v>src/data/rocketParts/index.ts</ns0:v>
      </ns0:c>
      <ns0:c r="I448" s="8" t="str"/>
    </ns0:row>
    <ns0:row r="449" ht="82" customHeight="1">
      <ns0:c r="A449" s="8" t="n">
        <ns0:v>443</ns0:v>
      </ns0:c>
      <ns0:c r="B449" s="8" t="str">
        <ns0:v>Fairing Separation Joint</ns0:v>
      </ns0:c>
      <ns0:c r="C449" s="8" t="str">
        <ns0:v>Payload System / Payload</ns0:v>
      </ns0:c>
      <ns0:c r="D449" s="8" t="str">
        <ns0:v>Rocket component</ns0:v>
      </ns0:c>
      <ns0:c r="E449" s="8" t="str">
        <ns0:v>Releases the fairing sections after the vehicle reaches a suitable altitude.</ns0:v>
      </ns0:c>
      <ns0:c r="F449" s="9" t="str">
        <ns0:f>HYPERLINK("https://physics.aimersociety.com/rocket-lab/parts/fairing-separation-joint","https://physics.aimersociety.com/rocket-lab/parts/fairing-separation-joint")</ns0:f>
        <ns0:v>https://physics.aimersociety.com/rocket-lab/parts/fairing-separation-joint</ns0:v>
      </ns0:c>
      <ns0:c r="G449" s="8" t="str">
        <ns0:v>/rocket-lab/parts/fairing-separation-joint</ns0:v>
      </ns0:c>
      <ns0:c r="H449" s="8" t="str">
        <ns0:v>src/data/rocketParts/index.ts</ns0:v>
      </ns0:c>
      <ns0:c r="I449" s="8" t="str"/>
    </ns0:row>
    <ns0:row r="450" ht="82" customHeight="1">
      <ns0:c r="A450" s="8" t="n">
        <ns0:v>444</ns0:v>
      </ns0:c>
      <ns0:c r="B450" s="8" t="str">
        <ns0:v>Launch Escape or Abort System</ns0:v>
      </ns0:c>
      <ns0:c r="C450" s="8" t="str">
        <ns0:v>Payload System / Payload</ns0:v>
      </ns0:c>
      <ns0:c r="D450" s="8" t="str">
        <ns0:v>Rocket component</ns0:v>
      </ns0:c>
      <ns0:c r="E450" s="8" t="str">
        <ns0:v>Rapidly separates the crew module from a failing launch vehicle during an emergency.</ns0:v>
      </ns0:c>
      <ns0:c r="F450" s="9" t="str">
        <ns0:f>HYPERLINK("https://physics.aimersociety.com/rocket-lab/parts/launch-escape-or-abort-system","https://physics.aimersociety.com/rocket-lab/parts/launch-escape-or-abort-system")</ns0:f>
        <ns0:v>https://physics.aimersociety.com/rocket-lab/parts/launch-escape-or-abort-system</ns0:v>
      </ns0:c>
      <ns0:c r="G450" s="8" t="str">
        <ns0:v>/rocket-lab/parts/launch-escape-or-abort-system</ns0:v>
      </ns0:c>
      <ns0:c r="H450" s="8" t="str">
        <ns0:v>src/data/rocketParts/index.ts</ns0:v>
      </ns0:c>
      <ns0:c r="I450" s="8" t="str"/>
    </ns0:row>
    <ns0:row r="451" ht="82" customHeight="1">
      <ns0:c r="A451" s="8" t="n">
        <ns0:v>445</ns0:v>
      </ns0:c>
      <ns0:c r="B451" s="8" t="str">
        <ns0:v>Payload</ns0:v>
      </ns0:c>
      <ns0:c r="C451" s="8" t="str">
        <ns0:v>Payload System / Payload</ns0:v>
      </ns0:c>
      <ns0:c r="D451" s="8" t="str">
        <ns0:v>Rocket component</ns0:v>
      </ns0:c>
      <ns0:c r="E451" s="8" t="str">
        <ns0:v>The satellite, spacecraft, scientific instrument, cargo, crew vehicle, or technology demonstrator carried by the rocket.</ns0:v>
      </ns0:c>
      <ns0:c r="F451" s="9" t="str">
        <ns0:f>HYPERLINK("https://physics.aimersociety.com/rocket-lab/parts/payload","https://physics.aimersociety.com/rocket-lab/parts/payload")</ns0:f>
        <ns0:v>https://physics.aimersociety.com/rocket-lab/parts/payload</ns0:v>
      </ns0:c>
      <ns0:c r="G451" s="8" t="str">
        <ns0:v>/rocket-lab/parts/payload</ns0:v>
      </ns0:c>
      <ns0:c r="H451" s="8" t="str">
        <ns0:v>src/data/rocketParts/index.ts</ns0:v>
      </ns0:c>
      <ns0:c r="I451" s="8" t="str"/>
    </ns0:row>
    <ns0:row r="452" ht="82" customHeight="1">
      <ns0:c r="A452" s="8" t="n">
        <ns0:v>446</ns0:v>
      </ns0:c>
      <ns0:c r="B452" s="8" t="str">
        <ns0:v>Payload Adapter</ns0:v>
      </ns0:c>
      <ns0:c r="C452" s="8" t="str">
        <ns0:v>Payload System / Payload</ns0:v>
      </ns0:c>
      <ns0:c r="D452" s="8" t="str">
        <ns0:v>Rocket component</ns0:v>
      </ns0:c>
      <ns0:c r="E452" s="8" t="str">
        <ns0:v>Mechanically connects the payload to the launch vehicle.</ns0:v>
      </ns0:c>
      <ns0:c r="F452" s="9" t="str">
        <ns0:f>HYPERLINK("https://physics.aimersociety.com/rocket-lab/parts/payload-adapter","https://physics.aimersociety.com/rocket-lab/parts/payload-adapter")</ns0:f>
        <ns0:v>https://physics.aimersociety.com/rocket-lab/parts/payload-adapter</ns0:v>
      </ns0:c>
      <ns0:c r="G452" s="8" t="str">
        <ns0:v>/rocket-lab/parts/payload-adapter</ns0:v>
      </ns0:c>
      <ns0:c r="H452" s="8" t="str">
        <ns0:v>src/data/rocketParts/index.ts</ns0:v>
      </ns0:c>
      <ns0:c r="I452" s="8" t="str"/>
    </ns0:row>
    <ns0:row r="453" ht="82" customHeight="1">
      <ns0:c r="A453" s="8" t="n">
        <ns0:v>447</ns0:v>
      </ns0:c>
      <ns0:c r="B453" s="8" t="str">
        <ns0:v>Payload Attach Fitting</ns0:v>
      </ns0:c>
      <ns0:c r="C453" s="8" t="str">
        <ns0:v>Payload System / Payload</ns0:v>
      </ns0:c>
      <ns0:c r="D453" s="8" t="str">
        <ns0:v>Rocket component</ns0:v>
      </ns0:c>
      <ns0:c r="E453" s="8" t="str">
        <ns0:v>Transfers structural loads between the payload and launch vehicle.</ns0:v>
      </ns0:c>
      <ns0:c r="F453" s="9" t="str">
        <ns0:f>HYPERLINK("https://physics.aimersociety.com/rocket-lab/parts/payload-attach-fitting","https://physics.aimersociety.com/rocket-lab/parts/payload-attach-fitting")</ns0:f>
        <ns0:v>https://physics.aimersociety.com/rocket-lab/parts/payload-attach-fitting</ns0:v>
      </ns0:c>
      <ns0:c r="G453" s="8" t="str">
        <ns0:v>/rocket-lab/parts/payload-attach-fitting</ns0:v>
      </ns0:c>
      <ns0:c r="H453" s="8" t="str">
        <ns0:v>src/data/rocketParts/index.ts</ns0:v>
      </ns0:c>
      <ns0:c r="I453" s="8" t="str"/>
    </ns0:row>
    <ns0:row r="454" ht="82" customHeight="1">
      <ns0:c r="A454" s="8" t="n">
        <ns0:v>448</ns0:v>
      </ns0:c>
      <ns0:c r="B454" s="8" t="str">
        <ns0:v>Payload Deployment Mechanism</ns0:v>
      </ns0:c>
      <ns0:c r="C454" s="8" t="str">
        <ns0:v>Payload System / Payload</ns0:v>
      </ns0:c>
      <ns0:c r="D454" s="8" t="str">
        <ns0:v>Rocket component</ns0:v>
      </ns0:c>
      <ns0:c r="E454" s="8" t="str">
        <ns0:v>Uses springs, actuators, clamps, or other devices to move the payload safely away from the stage.</ns0:v>
      </ns0:c>
      <ns0:c r="F454" s="9" t="str">
        <ns0:f>HYPERLINK("https://physics.aimersociety.com/rocket-lab/parts/payload-deployment-mechanism","https://physics.aimersociety.com/rocket-lab/parts/payload-deployment-mechanism")</ns0:f>
        <ns0:v>https://physics.aimersociety.com/rocket-lab/parts/payload-deployment-mechanism</ns0:v>
      </ns0:c>
      <ns0:c r="G454" s="8" t="str">
        <ns0:v>/rocket-lab/parts/payload-deployment-mechanism</ns0:v>
      </ns0:c>
      <ns0:c r="H454" s="8" t="str">
        <ns0:v>src/data/rocketParts/index.ts</ns0:v>
      </ns0:c>
      <ns0:c r="I454" s="8" t="str"/>
    </ns0:row>
    <ns0:row r="455" ht="82" customHeight="1">
      <ns0:c r="A455" s="8" t="n">
        <ns0:v>449</ns0:v>
      </ns0:c>
      <ns0:c r="B455" s="8" t="str">
        <ns0:v>Payload Electrical Interface</ns0:v>
      </ns0:c>
      <ns0:c r="C455" s="8" t="str">
        <ns0:v>Payload System / Payload</ns0:v>
      </ns0:c>
      <ns0:c r="D455" s="8" t="str">
        <ns0:v>Rocket component</ns0:v>
      </ns0:c>
      <ns0:c r="E455" s="8" t="str">
        <ns0:v>Provides power, monitoring, commands, and data connections before deployment.</ns0:v>
      </ns0:c>
      <ns0:c r="F455" s="9" t="str">
        <ns0:f>HYPERLINK("https://physics.aimersociety.com/rocket-lab/parts/payload-electrical-interface","https://physics.aimersociety.com/rocket-lab/parts/payload-electrical-interface")</ns0:f>
        <ns0:v>https://physics.aimersociety.com/rocket-lab/parts/payload-electrical-interface</ns0:v>
      </ns0:c>
      <ns0:c r="G455" s="8" t="str">
        <ns0:v>/rocket-lab/parts/payload-electrical-interface</ns0:v>
      </ns0:c>
      <ns0:c r="H455" s="8" t="str">
        <ns0:v>src/data/rocketParts/index.ts</ns0:v>
      </ns0:c>
      <ns0:c r="I455" s="8" t="str"/>
    </ns0:row>
    <ns0:row r="456" ht="82" customHeight="1">
      <ns0:c r="A456" s="8" t="n">
        <ns0:v>450</ns0:v>
      </ns0:c>
      <ns0:c r="B456" s="8" t="str">
        <ns0:v>Payload Environmental-Control Interface</ns0:v>
      </ns0:c>
      <ns0:c r="C456" s="8" t="str">
        <ns0:v>Payload System / Payload</ns0:v>
      </ns0:c>
      <ns0:c r="D456" s="8" t="str">
        <ns0:v>Rocket component</ns0:v>
      </ns0:c>
      <ns0:c r="E456" s="8" t="str">
        <ns0:v>Supports conditioned air, purge gas, temperature control, or contamination control before launch.</ns0:v>
      </ns0:c>
      <ns0:c r="F456" s="9" t="str">
        <ns0:f>HYPERLINK("https://physics.aimersociety.com/rocket-lab/parts/payload-environmental-control-interface","https://physics.aimersociety.com/rocket-lab/parts/payload-environmental-control-interface")</ns0:f>
        <ns0:v>https://physics.aimersociety.com/rocket-lab/parts/payload-environmental-control-interface</ns0:v>
      </ns0:c>
      <ns0:c r="G456" s="8" t="str">
        <ns0:v>/rocket-lab/parts/payload-environmental-control-interface</ns0:v>
      </ns0:c>
      <ns0:c r="H456" s="8" t="str">
        <ns0:v>src/data/rocketParts/index.ts</ns0:v>
      </ns0:c>
      <ns0:c r="I456" s="8" t="str"/>
    </ns0:row>
    <ns0:row r="457" ht="82" customHeight="1">
      <ns0:c r="A457" s="8" t="n">
        <ns0:v>451</ns0:v>
      </ns0:c>
      <ns0:c r="B457" s="8" t="str">
        <ns0:v>Payload Fairing</ns0:v>
      </ns0:c>
      <ns0:c r="C457" s="8" t="str">
        <ns0:v>Payload System / Payload</ns0:v>
      </ns0:c>
      <ns0:c r="D457" s="8" t="str">
        <ns0:v>Rocket component</ns0:v>
      </ns0:c>
      <ns0:c r="E457" s="8" t="str">
        <ns0:v>Protects the spacecraft or payload from aerodynamic pressure, heating, weather, contamination, and acoustic loads during atmospheric ascent.</ns0:v>
      </ns0:c>
      <ns0:c r="F457" s="9" t="str">
        <ns0:f>HYPERLINK("https://physics.aimersociety.com/rocket-lab/parts/payload-fairing","https://physics.aimersociety.com/rocket-lab/parts/payload-fairing")</ns0:f>
        <ns0:v>https://physics.aimersociety.com/rocket-lab/parts/payload-fairing</ns0:v>
      </ns0:c>
      <ns0:c r="G457" s="8" t="str">
        <ns0:v>/rocket-lab/parts/payload-fairing</ns0:v>
      </ns0:c>
      <ns0:c r="H457" s="8" t="str">
        <ns0:v>src/data/rocketParts/index.ts</ns0:v>
      </ns0:c>
      <ns0:c r="I457" s="8" t="str"/>
    </ns0:row>
    <ns0:row r="458" ht="82" customHeight="1">
      <ns0:c r="A458" s="8" t="n">
        <ns0:v>452</ns0:v>
      </ns0:c>
      <ns0:c r="B458" s="8" t="str">
        <ns0:v>Payload Separation System</ns0:v>
      </ns0:c>
      <ns0:c r="C458" s="8" t="str">
        <ns0:v>Payload System / Payload</ns0:v>
      </ns0:c>
      <ns0:c r="D458" s="8" t="str">
        <ns0:v>Rocket component</ns0:v>
      </ns0:c>
      <ns0:c r="E458" s="8" t="str">
        <ns0:v>Releases and deploys the payload after orbital or mission conditions are achieved.</ns0:v>
      </ns0:c>
      <ns0:c r="F458" s="9" t="str">
        <ns0:f>HYPERLINK("https://physics.aimersociety.com/rocket-lab/parts/payload-separation-system","https://physics.aimersociety.com/rocket-lab/parts/payload-separation-system")</ns0:f>
        <ns0:v>https://physics.aimersociety.com/rocket-lab/parts/payload-separation-system</ns0:v>
      </ns0:c>
      <ns0:c r="G458" s="8" t="str">
        <ns0:v>/rocket-lab/parts/payload-separation-system</ns0:v>
      </ns0:c>
      <ns0:c r="H458" s="8" t="str">
        <ns0:v>src/data/rocketParts/index.ts</ns0:v>
      </ns0:c>
      <ns0:c r="I458" s="8" t="str"/>
    </ns0:row>
    <ns0:row r="459" ht="82" customHeight="1">
      <ns0:c r="A459" s="8" t="n">
        <ns0:v>453</ns0:v>
      </ns0:c>
      <ns0:c r="B459" s="8" t="str">
        <ns0:v>Secondary Payload Dispenser</ns0:v>
      </ns0:c>
      <ns0:c r="C459" s="8" t="str">
        <ns0:v>Payload System / Payload</ns0:v>
      </ns0:c>
      <ns0:c r="D459" s="8" t="str">
        <ns0:v>Rocket component</ns0:v>
      </ns0:c>
      <ns0:c r="E459" s="8" t="str">
        <ns0:v>Carries and deploys smaller secondary satellites.</ns0:v>
      </ns0:c>
      <ns0:c r="F459" s="9" t="str">
        <ns0:f>HYPERLINK("https://physics.aimersociety.com/rocket-lab/parts/secondary-payload-dispenser","https://physics.aimersociety.com/rocket-lab/parts/secondary-payload-dispenser")</ns0:f>
        <ns0:v>https://physics.aimersociety.com/rocket-lab/parts/secondary-payload-dispenser</ns0:v>
      </ns0:c>
      <ns0:c r="G459" s="8" t="str">
        <ns0:v>/rocket-lab/parts/secondary-payload-dispenser</ns0:v>
      </ns0:c>
      <ns0:c r="H459" s="8" t="str">
        <ns0:v>src/data/rocketParts/index.ts</ns0:v>
      </ns0:c>
      <ns0:c r="I459" s="8" t="str"/>
    </ns0:row>
    <ns0:row r="460" ht="82" customHeight="1">
      <ns0:c r="A460" s="8" t="n">
        <ns0:v>454</ns0:v>
      </ns0:c>
      <ns0:c r="B460" s="8" t="str">
        <ns0:v>Spacecraft Adapter</ns0:v>
      </ns0:c>
      <ns0:c r="C460" s="8" t="str">
        <ns0:v>Payload System / Payload</ns0:v>
      </ns0:c>
      <ns0:c r="D460" s="8" t="str">
        <ns0:v>Rocket component</ns0:v>
      </ns0:c>
      <ns0:c r="E460" s="8" t="str">
        <ns0:v>Provides the structural and electrical transition between the upper stage and spacecraft.</ns0:v>
      </ns0:c>
      <ns0:c r="F460" s="9" t="str">
        <ns0:f>HYPERLINK("https://physics.aimersociety.com/rocket-lab/parts/spacecraft-adapter","https://physics.aimersociety.com/rocket-lab/parts/spacecraft-adapter")</ns0:f>
        <ns0:v>https://physics.aimersociety.com/rocket-lab/parts/spacecraft-adapter</ns0:v>
      </ns0:c>
      <ns0:c r="G460" s="8" t="str">
        <ns0:v>/rocket-lab/parts/spacecraft-adapter</ns0:v>
      </ns0:c>
      <ns0:c r="H460" s="8" t="str">
        <ns0:v>src/data/rocketParts/index.ts</ns0:v>
      </ns0:c>
      <ns0:c r="I460" s="8" t="str"/>
    </ns0:row>
    <ns0:row r="461" ht="82" customHeight="1">
      <ns0:c r="A461" s="8" t="n">
        <ns0:v>455</ns0:v>
      </ns0:c>
      <ns0:c r="B461" s="8" t="str">
        <ns0:v>Anti-Vortex Device</ns0:v>
      </ns0:c>
      <ns0:c r="C461" s="8" t="str">
        <ns0:v>Propellant Storage &amp; Feed / Propellant Storage &amp; Feed</ns0:v>
      </ns0:c>
      <ns0:c r="D461" s="8" t="str">
        <ns0:v>Rocket component</ns0:v>
      </ns0:c>
      <ns0:c r="E461" s="8" t="str">
        <ns0:v>Reduces vortex formation and gas ingestion near a tank outlet.</ns0:v>
      </ns0:c>
      <ns0:c r="F461" s="9" t="str">
        <ns0:f>HYPERLINK("https://physics.aimersociety.com/rocket-lab/parts/anti-vortex-device","https://physics.aimersociety.com/rocket-lab/parts/anti-vortex-device")</ns0:f>
        <ns0:v>https://physics.aimersociety.com/rocket-lab/parts/anti-vortex-device</ns0:v>
      </ns0:c>
      <ns0:c r="G461" s="8" t="str">
        <ns0:v>/rocket-lab/parts/anti-vortex-device</ns0:v>
      </ns0:c>
      <ns0:c r="H461" s="8" t="str">
        <ns0:v>src/data/rocketParts/index.ts</ns0:v>
      </ns0:c>
      <ns0:c r="I461" s="8" t="str"/>
    </ns0:row>
    <ns0:row r="462" ht="82" customHeight="1">
      <ns0:c r="A462" s="8" t="n">
        <ns0:v>456</ns0:v>
      </ns0:c>
      <ns0:c r="B462" s="8" t="str">
        <ns0:v>Autogenous Pressurization Heat Exchanger</ns0:v>
      </ns0:c>
      <ns0:c r="C462" s="8" t="str">
        <ns0:v>Propellant Storage &amp; Feed / Propellant Storage &amp; Feed</ns0:v>
      </ns0:c>
      <ns0:c r="D462" s="8" t="str">
        <ns0:v>Rocket component</ns0:v>
      </ns0:c>
      <ns0:c r="E462" s="8" t="str">
        <ns0:v>Converts propellant into warm gas for tank pressurization.</ns0:v>
      </ns0:c>
      <ns0:c r="F462" s="9" t="str">
        <ns0:f>HYPERLINK("https://physics.aimersociety.com/rocket-lab/parts/autogenous-pressurization-heat-exchanger","https://physics.aimersociety.com/rocket-lab/parts/autogenous-pressurization-heat-exchanger")</ns0:f>
        <ns0:v>https://physics.aimersociety.com/rocket-lab/parts/autogenous-pressurization-heat-exchanger</ns0:v>
      </ns0:c>
      <ns0:c r="G462" s="8" t="str">
        <ns0:v>/rocket-lab/parts/autogenous-pressurization-heat-exchanger</ns0:v>
      </ns0:c>
      <ns0:c r="H462" s="8" t="str">
        <ns0:v>src/data/rocketParts/index.ts</ns0:v>
      </ns0:c>
      <ns0:c r="I462" s="8" t="str"/>
    </ns0:row>
    <ns0:row r="463" ht="82" customHeight="1">
      <ns0:c r="A463" s="8" t="n">
        <ns0:v>457</ns0:v>
      </ns0:c>
      <ns0:c r="B463" s="8" t="str">
        <ns0:v>Baffle</ns0:v>
      </ns0:c>
      <ns0:c r="C463" s="8" t="str">
        <ns0:v>Propellant Storage &amp; Feed / Propellant Storage &amp; Feed</ns0:v>
      </ns0:c>
      <ns0:c r="D463" s="8" t="str">
        <ns0:v>Rocket component</ns0:v>
      </ns0:c>
      <ns0:c r="E463" s="8" t="str">
        <ns0:v>Reduces propellant slosh and associated changes in vehicle dynamics.</ns0:v>
      </ns0:c>
      <ns0:c r="F463" s="9" t="str">
        <ns0:f>HYPERLINK("https://physics.aimersociety.com/rocket-lab/parts/baffle","https://physics.aimersociety.com/rocket-lab/parts/baffle")</ns0:f>
        <ns0:v>https://physics.aimersociety.com/rocket-lab/parts/baffle</ns0:v>
      </ns0:c>
      <ns0:c r="G463" s="8" t="str">
        <ns0:v>/rocket-lab/parts/baffle</ns0:v>
      </ns0:c>
      <ns0:c r="H463" s="8" t="str">
        <ns0:v>src/data/rocketParts/index.ts</ns0:v>
      </ns0:c>
      <ns0:c r="I463" s="8" t="str"/>
    </ns0:row>
    <ns0:row r="464" ht="82" customHeight="1">
      <ns0:c r="A464" s="8" t="n">
        <ns0:v>458</ns0:v>
      </ns0:c>
      <ns0:c r="B464" s="8" t="str">
        <ns0:v>Burst Disk</ns0:v>
      </ns0:c>
      <ns0:c r="C464" s="8" t="str">
        <ns0:v>Propellant Storage &amp; Feed / Propellant Storage &amp; Feed</ns0:v>
      </ns0:c>
      <ns0:c r="D464" s="8" t="str">
        <ns0:v>Rocket component</ns0:v>
      </ns0:c>
      <ns0:c r="E464" s="8" t="str">
        <ns0:v>Provides a one-time pressure-relief path at a designed threshold.</ns0:v>
      </ns0:c>
      <ns0:c r="F464" s="9" t="str">
        <ns0:f>HYPERLINK("https://physics.aimersociety.com/rocket-lab/parts/burst-disk","https://physics.aimersociety.com/rocket-lab/parts/burst-disk")</ns0:f>
        <ns0:v>https://physics.aimersociety.com/rocket-lab/parts/burst-disk</ns0:v>
      </ns0:c>
      <ns0:c r="G464" s="8" t="str">
        <ns0:v>/rocket-lab/parts/burst-disk</ns0:v>
      </ns0:c>
      <ns0:c r="H464" s="8" t="str">
        <ns0:v>src/data/rocketParts/index.ts</ns0:v>
      </ns0:c>
      <ns0:c r="I464" s="8" t="str"/>
    </ns0:row>
    <ns0:row r="465" ht="82" customHeight="1">
      <ns0:c r="A465" s="8" t="n">
        <ns0:v>459</ns0:v>
      </ns0:c>
      <ns0:c r="B465" s="8" t="str">
        <ns0:v>Check Valve</ns0:v>
      </ns0:c>
      <ns0:c r="C465" s="8" t="str">
        <ns0:v>Propellant Storage &amp; Feed / Propellant Storage &amp; Feed</ns0:v>
      </ns0:c>
      <ns0:c r="D465" s="8" t="str">
        <ns0:v>Rocket component</ns0:v>
      </ns0:c>
      <ns0:c r="E465" s="8" t="str">
        <ns0:v>Prevents reverse flow.</ns0:v>
      </ns0:c>
      <ns0:c r="F465" s="9" t="str">
        <ns0:f>HYPERLINK("https://physics.aimersociety.com/rocket-lab/parts/check-valve","https://physics.aimersociety.com/rocket-lab/parts/check-valve")</ns0:f>
        <ns0:v>https://physics.aimersociety.com/rocket-lab/parts/check-valve</ns0:v>
      </ns0:c>
      <ns0:c r="G465" s="8" t="str">
        <ns0:v>/rocket-lab/parts/check-valve</ns0:v>
      </ns0:c>
      <ns0:c r="H465" s="8" t="str">
        <ns0:v>src/data/rocketParts/index.ts</ns0:v>
      </ns0:c>
      <ns0:c r="I465" s="8" t="str"/>
    </ns0:row>
    <ns0:row r="466" ht="82" customHeight="1">
      <ns0:c r="A466" s="8" t="n">
        <ns0:v>460</ns0:v>
      </ns0:c>
      <ns0:c r="B466" s="8" t="str">
        <ns0:v>Cryogenic Tank</ns0:v>
      </ns0:c>
      <ns0:c r="C466" s="8" t="str">
        <ns0:v>Propellant Storage &amp; Feed / Propellant Storage &amp; Feed</ns0:v>
      </ns0:c>
      <ns0:c r="D466" s="8" t="str">
        <ns0:v>Rocket component</ns0:v>
      </ns0:c>
      <ns0:c r="E466" s="8" t="str">
        <ns0:v>Stores very-low-temperature liquid propellants with insulation and pressure-management provisions.</ns0:v>
      </ns0:c>
      <ns0:c r="F466" s="9" t="str">
        <ns0:f>HYPERLINK("https://physics.aimersociety.com/rocket-lab/parts/cryogenic-tank","https://physics.aimersociety.com/rocket-lab/parts/cryogenic-tank")</ns0:f>
        <ns0:v>https://physics.aimersociety.com/rocket-lab/parts/cryogenic-tank</ns0:v>
      </ns0:c>
      <ns0:c r="G466" s="8" t="str">
        <ns0:v>/rocket-lab/parts/cryogenic-tank</ns0:v>
      </ns0:c>
      <ns0:c r="H466" s="8" t="str">
        <ns0:v>src/data/rocketParts/index.ts</ns0:v>
      </ns0:c>
      <ns0:c r="I466" s="8" t="str"/>
    </ns0:row>
    <ns0:row r="467" ht="82" customHeight="1">
      <ns0:c r="A467" s="8" t="n">
        <ns0:v>461</ns0:v>
      </ns0:c>
      <ns0:c r="B467" s="8" t="str">
        <ns0:v>Fill and Drain Valve</ns0:v>
      </ns0:c>
      <ns0:c r="C467" s="8" t="str">
        <ns0:v>Propellant Storage &amp; Feed / Propellant Storage &amp; Feed</ns0:v>
      </ns0:c>
      <ns0:c r="D467" s="8" t="str">
        <ns0:v>Rocket component</ns0:v>
      </ns0:c>
      <ns0:c r="E467" s="8" t="str">
        <ns0:v>Supports propellant loading, unloading, and servicing.</ns0:v>
      </ns0:c>
      <ns0:c r="F467" s="9" t="str">
        <ns0:f>HYPERLINK("https://physics.aimersociety.com/rocket-lab/parts/fill-and-drain-valve","https://physics.aimersociety.com/rocket-lab/parts/fill-and-drain-valve")</ns0:f>
        <ns0:v>https://physics.aimersociety.com/rocket-lab/parts/fill-and-drain-valve</ns0:v>
      </ns0:c>
      <ns0:c r="G467" s="8" t="str">
        <ns0:v>/rocket-lab/parts/fill-and-drain-valve</ns0:v>
      </ns0:c>
      <ns0:c r="H467" s="8" t="str">
        <ns0:v>src/data/rocketParts/index.ts</ns0:v>
      </ns0:c>
      <ns0:c r="I467" s="8" t="str"/>
    </ns0:row>
    <ns0:row r="468" ht="82" customHeight="1">
      <ns0:c r="A468" s="8" t="n">
        <ns0:v>462</ns0:v>
      </ns0:c>
      <ns0:c r="B468" s="8" t="str">
        <ns0:v>Flexible Feed-Line Joint</ns0:v>
      </ns0:c>
      <ns0:c r="C468" s="8" t="str">
        <ns0:v>Propellant Storage &amp; Feed / Propellant Storage &amp; Feed</ns0:v>
      </ns0:c>
      <ns0:c r="D468" s="8" t="str">
        <ns0:v>Rocket component</ns0:v>
      </ns0:c>
      <ns0:c r="E468" s="8" t="str">
        <ns0:v>Allows controlled movement caused by thermal contraction, vibration, or engine gimbaling.</ns0:v>
      </ns0:c>
      <ns0:c r="F468" s="9" t="str">
        <ns0:f>HYPERLINK("https://physics.aimersociety.com/rocket-lab/parts/flexible-feed-line-joint","https://physics.aimersociety.com/rocket-lab/parts/flexible-feed-line-joint")</ns0:f>
        <ns0:v>https://physics.aimersociety.com/rocket-lab/parts/flexible-feed-line-joint</ns0:v>
      </ns0:c>
      <ns0:c r="G468" s="8" t="str">
        <ns0:v>/rocket-lab/parts/flexible-feed-line-joint</ns0:v>
      </ns0:c>
      <ns0:c r="H468" s="8" t="str">
        <ns0:v>src/data/rocketParts/index.ts</ns0:v>
      </ns0:c>
      <ns0:c r="I468" s="8" t="str"/>
    </ns0:row>
    <ns0:row r="469" ht="82" customHeight="1">
      <ns0:c r="A469" s="8" t="n">
        <ns0:v>463</ns0:v>
      </ns0:c>
      <ns0:c r="B469" s="8" t="str">
        <ns0:v>Fuel Feed Line</ns0:v>
      </ns0:c>
      <ns0:c r="C469" s="8" t="str">
        <ns0:v>Propellant Storage &amp; Feed / Propellant Storage &amp; Feed</ns0:v>
      </ns0:c>
      <ns0:c r="D469" s="8" t="str">
        <ns0:v>Rocket component</ns0:v>
      </ns0:c>
      <ns0:c r="E469" s="8" t="str">
        <ns0:v>Carries fuel from the tank to the propulsion system.</ns0:v>
      </ns0:c>
      <ns0:c r="F469" s="9" t="str">
        <ns0:f>HYPERLINK("https://physics.aimersociety.com/rocket-lab/parts/fuel-feed-line","https://physics.aimersociety.com/rocket-lab/parts/fuel-feed-line")</ns0:f>
        <ns0:v>https://physics.aimersociety.com/rocket-lab/parts/fuel-feed-line</ns0:v>
      </ns0:c>
      <ns0:c r="G469" s="8" t="str">
        <ns0:v>/rocket-lab/parts/fuel-feed-line</ns0:v>
      </ns0:c>
      <ns0:c r="H469" s="8" t="str">
        <ns0:v>src/data/rocketParts/index.ts</ns0:v>
      </ns0:c>
      <ns0:c r="I469" s="8" t="str"/>
    </ns0:row>
    <ns0:row r="470" ht="82" customHeight="1">
      <ns0:c r="A470" s="8" t="n">
        <ns0:v>464</ns0:v>
      </ns0:c>
      <ns0:c r="B470" s="8" t="str">
        <ns0:v>Fuel Tank</ns0:v>
      </ns0:c>
      <ns0:c r="C470" s="8" t="str">
        <ns0:v>Propellant Storage &amp; Feed / Propellant Storage &amp; Feed</ns0:v>
      </ns0:c>
      <ns0:c r="D470" s="8" t="str">
        <ns0:v>Rocket component</ns0:v>
      </ns0:c>
      <ns0:c r="E470" s="8" t="str">
        <ns0:v>Stores the engine fuel under required thermal and pressure conditions.</ns0:v>
      </ns0:c>
      <ns0:c r="F470" s="9" t="str">
        <ns0:f>HYPERLINK("https://physics.aimersociety.com/rocket-lab/parts/fuel-tank","https://physics.aimersociety.com/rocket-lab/parts/fuel-tank")</ns0:f>
        <ns0:v>https://physics.aimersociety.com/rocket-lab/parts/fuel-tank</ns0:v>
      </ns0:c>
      <ns0:c r="G470" s="8" t="str">
        <ns0:v>/rocket-lab/parts/fuel-tank</ns0:v>
      </ns0:c>
      <ns0:c r="H470" s="8" t="str">
        <ns0:v>src/data/rocketParts/index.ts</ns0:v>
      </ns0:c>
      <ns0:c r="I470" s="8" t="str"/>
    </ns0:row>
    <ns0:row r="471" ht="82" customHeight="1">
      <ns0:c r="A471" s="8" t="n">
        <ns0:v>465</ns0:v>
      </ns0:c>
      <ns0:c r="B471" s="8" t="str">
        <ns0:v>Helium Storage Vessel</ns0:v>
      </ns0:c>
      <ns0:c r="C471" s="8" t="str">
        <ns0:v>Propellant Storage &amp; Feed / Propellant Storage &amp; Feed</ns0:v>
      </ns0:c>
      <ns0:c r="D471" s="8" t="str">
        <ns0:v>Rocket component</ns0:v>
      </ns0:c>
      <ns0:c r="E471" s="8" t="str">
        <ns0:v>Stores helium used for tank pressurization, purging, or pneumatic operation.</ns0:v>
      </ns0:c>
      <ns0:c r="F471" s="9" t="str">
        <ns0:f>HYPERLINK("https://physics.aimersociety.com/rocket-lab/parts/helium-storage-vessel","https://physics.aimersociety.com/rocket-lab/parts/helium-storage-vessel")</ns0:f>
        <ns0:v>https://physics.aimersociety.com/rocket-lab/parts/helium-storage-vessel</ns0:v>
      </ns0:c>
      <ns0:c r="G471" s="8" t="str">
        <ns0:v>/rocket-lab/parts/helium-storage-vessel</ns0:v>
      </ns0:c>
      <ns0:c r="H471" s="8" t="str">
        <ns0:v>src/data/rocketParts/index.ts</ns0:v>
      </ns0:c>
      <ns0:c r="I471" s="8" t="str"/>
    </ns0:row>
    <ns0:row r="472" ht="82" customHeight="1">
      <ns0:c r="A472" s="8" t="n">
        <ns0:v>466</ns0:v>
      </ns0:c>
      <ns0:c r="B472" s="8" t="str">
        <ns0:v>Oxidizer Feed Line</ns0:v>
      </ns0:c>
      <ns0:c r="C472" s="8" t="str">
        <ns0:v>Propellant Storage &amp; Feed / Propellant Storage &amp; Feed</ns0:v>
      </ns0:c>
      <ns0:c r="D472" s="8" t="str">
        <ns0:v>Rocket component</ns0:v>
      </ns0:c>
      <ns0:c r="E472" s="8" t="str">
        <ns0:v>Carries oxidizer from the tank to the propulsion system.</ns0:v>
      </ns0:c>
      <ns0:c r="F472" s="9" t="str">
        <ns0:f>HYPERLINK("https://physics.aimersociety.com/rocket-lab/parts/oxidizer-feed-line","https://physics.aimersociety.com/rocket-lab/parts/oxidizer-feed-line")</ns0:f>
        <ns0:v>https://physics.aimersociety.com/rocket-lab/parts/oxidizer-feed-line</ns0:v>
      </ns0:c>
      <ns0:c r="G472" s="8" t="str">
        <ns0:v>/rocket-lab/parts/oxidizer-feed-line</ns0:v>
      </ns0:c>
      <ns0:c r="H472" s="8" t="str">
        <ns0:v>src/data/rocketParts/index.ts</ns0:v>
      </ns0:c>
      <ns0:c r="I472" s="8" t="str"/>
    </ns0:row>
    <ns0:row r="473" ht="82" customHeight="1">
      <ns0:c r="A473" s="8" t="n">
        <ns0:v>467</ns0:v>
      </ns0:c>
      <ns0:c r="B473" s="8" t="str">
        <ns0:v>Oxidizer Tank</ns0:v>
      </ns0:c>
      <ns0:c r="C473" s="8" t="str">
        <ns0:v>Propellant Storage &amp; Feed / Propellant Storage &amp; Feed</ns0:v>
      </ns0:c>
      <ns0:c r="D473" s="8" t="str">
        <ns0:v>Rocket component</ns0:v>
      </ns0:c>
      <ns0:c r="E473" s="8" t="str">
        <ns0:v>Stores the oxidizing agent required for combustion.</ns0:v>
      </ns0:c>
      <ns0:c r="F473" s="9" t="str">
        <ns0:f>HYPERLINK("https://physics.aimersociety.com/rocket-lab/parts/oxidizer-tank","https://physics.aimersociety.com/rocket-lab/parts/oxidizer-tank")</ns0:f>
        <ns0:v>https://physics.aimersociety.com/rocket-lab/parts/oxidizer-tank</ns0:v>
      </ns0:c>
      <ns0:c r="G473" s="8" t="str">
        <ns0:v>/rocket-lab/parts/oxidizer-tank</ns0:v>
      </ns0:c>
      <ns0:c r="H473" s="8" t="str">
        <ns0:v>src/data/rocketParts/index.ts</ns0:v>
      </ns0:c>
      <ns0:c r="I473" s="8" t="str"/>
    </ns0:row>
    <ns0:row r="474" ht="82" customHeight="1">
      <ns0:c r="A474" s="8" t="n">
        <ns0:v>468</ns0:v>
      </ns0:c>
      <ns0:c r="B474" s="8" t="str">
        <ns0:v>Pressurant Tank</ns0:v>
      </ns0:c>
      <ns0:c r="C474" s="8" t="str">
        <ns0:v>Propellant Storage &amp; Feed / Propellant Storage &amp; Feed</ns0:v>
      </ns0:c>
      <ns0:c r="D474" s="8" t="str">
        <ns0:v>Rocket component</ns0:v>
      </ns0:c>
      <ns0:c r="E474" s="8" t="str">
        <ns0:v>Stores high-pressure gas used to maintain propellant-tank pressure.</ns0:v>
      </ns0:c>
      <ns0:c r="F474" s="9" t="str">
        <ns0:f>HYPERLINK("https://physics.aimersociety.com/rocket-lab/parts/pressurant-tank","https://physics.aimersociety.com/rocket-lab/parts/pressurant-tank")</ns0:f>
        <ns0:v>https://physics.aimersociety.com/rocket-lab/parts/pressurant-tank</ns0:v>
      </ns0:c>
      <ns0:c r="G474" s="8" t="str">
        <ns0:v>/rocket-lab/parts/pressurant-tank</ns0:v>
      </ns0:c>
      <ns0:c r="H474" s="8" t="str">
        <ns0:v>src/data/rocketParts/index.ts</ns0:v>
      </ns0:c>
      <ns0:c r="I474" s="8" t="str"/>
    </ns0:row>
    <ns0:row r="475" ht="82" customHeight="1">
      <ns0:c r="A475" s="8" t="n">
        <ns0:v>469</ns0:v>
      </ns0:c>
      <ns0:c r="B475" s="8" t="str">
        <ns0:v>Pressure Regulator</ns0:v>
      </ns0:c>
      <ns0:c r="C475" s="8" t="str">
        <ns0:v>Propellant Storage &amp; Feed / Propellant Storage &amp; Feed</ns0:v>
      </ns0:c>
      <ns0:c r="D475" s="8" t="str">
        <ns0:v>Rocket component</ns0:v>
      </ns0:c>
      <ns0:c r="E475" s="8" t="str">
        <ns0:v>Reduces and controls gas or fluid pressure.</ns0:v>
      </ns0:c>
      <ns0:c r="F475" s="9" t="str">
        <ns0:f>HYPERLINK("https://physics.aimersociety.com/rocket-lab/parts/pressure-regulator","https://physics.aimersociety.com/rocket-lab/parts/pressure-regulator")</ns0:f>
        <ns0:v>https://physics.aimersociety.com/rocket-lab/parts/pressure-regulator</ns0:v>
      </ns0:c>
      <ns0:c r="G475" s="8" t="str">
        <ns0:v>/rocket-lab/parts/pressure-regulator</ns0:v>
      </ns0:c>
      <ns0:c r="H475" s="8" t="str">
        <ns0:v>src/data/rocketParts/index.ts</ns0:v>
      </ns0:c>
      <ns0:c r="I475" s="8" t="str"/>
    </ns0:row>
    <ns0:row r="476" ht="82" customHeight="1">
      <ns0:c r="A476" s="8" t="n">
        <ns0:v>470</ns0:v>
      </ns0:c>
      <ns0:c r="B476" s="8" t="str">
        <ns0:v>Pressurization Line</ns0:v>
      </ns0:c>
      <ns0:c r="C476" s="8" t="str">
        <ns0:v>Propellant Storage &amp; Feed / Propellant Storage &amp; Feed</ns0:v>
      </ns0:c>
      <ns0:c r="D476" s="8" t="str">
        <ns0:v>Rocket component</ns0:v>
      </ns0:c>
      <ns0:c r="E476" s="8" t="str">
        <ns0:v>Carries pressurant gas to a propellant tank.</ns0:v>
      </ns0:c>
      <ns0:c r="F476" s="9" t="str">
        <ns0:f>HYPERLINK("https://physics.aimersociety.com/rocket-lab/parts/pressurization-line","https://physics.aimersociety.com/rocket-lab/parts/pressurization-line")</ns0:f>
        <ns0:v>https://physics.aimersociety.com/rocket-lab/parts/pressurization-line</ns0:v>
      </ns0:c>
      <ns0:c r="G476" s="8" t="str">
        <ns0:v>/rocket-lab/parts/pressurization-line</ns0:v>
      </ns0:c>
      <ns0:c r="H476" s="8" t="str">
        <ns0:v>src/data/rocketParts/index.ts</ns0:v>
      </ns0:c>
      <ns0:c r="I476" s="8" t="str"/>
    </ns0:row>
    <ns0:row r="477" ht="82" customHeight="1">
      <ns0:c r="A477" s="8" t="n">
        <ns0:v>471</ns0:v>
      </ns0:c>
      <ns0:c r="B477" s="8" t="str">
        <ns0:v>Propellant Acquisition Device</ns0:v>
      </ns0:c>
      <ns0:c r="C477" s="8" t="str">
        <ns0:v>Propellant Storage &amp; Feed / Propellant Storage &amp; Feed</ns0:v>
      </ns0:c>
      <ns0:c r="D477" s="8" t="str">
        <ns0:v>Rocket component</ns0:v>
      </ns0:c>
      <ns0:c r="E477" s="8" t="str">
        <ns0:v>Helps ensure usable liquid reaches the outlet under low-gravity or acceleration conditions.</ns0:v>
      </ns0:c>
      <ns0:c r="F477" s="9" t="str">
        <ns0:f>HYPERLINK("https://physics.aimersociety.com/rocket-lab/parts/propellant-acquisition-device","https://physics.aimersociety.com/rocket-lab/parts/propellant-acquisition-device")</ns0:f>
        <ns0:v>https://physics.aimersociety.com/rocket-lab/parts/propellant-acquisition-device</ns0:v>
      </ns0:c>
      <ns0:c r="G477" s="8" t="str">
        <ns0:v>/rocket-lab/parts/propellant-acquisition-device</ns0:v>
      </ns0:c>
      <ns0:c r="H477" s="8" t="str">
        <ns0:v>src/data/rocketParts/index.ts</ns0:v>
      </ns0:c>
      <ns0:c r="I477" s="8" t="str"/>
    </ns0:row>
    <ns0:row r="478" ht="82" customHeight="1">
      <ns0:c r="A478" s="8" t="n">
        <ns0:v>472</ns0:v>
      </ns0:c>
      <ns0:c r="B478" s="8" t="str">
        <ns0:v>Propellant Distribution Manifold</ns0:v>
      </ns0:c>
      <ns0:c r="C478" s="8" t="str">
        <ns0:v>Propellant Storage &amp; Feed / Propellant Storage &amp; Feed</ns0:v>
      </ns0:c>
      <ns0:c r="D478" s="8" t="str">
        <ns0:v>Rocket component</ns0:v>
      </ns0:c>
      <ns0:c r="E478" s="8" t="str">
        <ns0:v>Distributes propellant or pressurant flow among multiple paths.</ns0:v>
      </ns0:c>
      <ns0:c r="F478" s="9" t="str">
        <ns0:f>HYPERLINK("https://physics.aimersociety.com/rocket-lab/parts/propellant-distribution-manifold","https://physics.aimersociety.com/rocket-lab/parts/propellant-distribution-manifold")</ns0:f>
        <ns0:v>https://physics.aimersociety.com/rocket-lab/parts/propellant-distribution-manifold</ns0:v>
      </ns0:c>
      <ns0:c r="G478" s="8" t="str">
        <ns0:v>/rocket-lab/parts/propellant-distribution-manifold</ns0:v>
      </ns0:c>
      <ns0:c r="H478" s="8" t="str">
        <ns0:v>src/data/rocketParts/index.ts</ns0:v>
      </ns0:c>
      <ns0:c r="I478" s="8" t="str"/>
    </ns0:row>
    <ns0:row r="479" ht="82" customHeight="1">
      <ns0:c r="A479" s="8" t="n">
        <ns0:v>473</ns0:v>
      </ns0:c>
      <ns0:c r="B479" s="8" t="str">
        <ns0:v>Propellant Isolation Valve</ns0:v>
      </ns0:c>
      <ns0:c r="C479" s="8" t="str">
        <ns0:v>Propellant Storage &amp; Feed / Propellant Storage &amp; Feed</ns0:v>
      </ns0:c>
      <ns0:c r="D479" s="8" t="str">
        <ns0:v>Rocket component</ns0:v>
      </ns0:c>
      <ns0:c r="E479" s="8" t="str">
        <ns0:v>Isolates tanks or downstream systems during servicing, aborts, or shutdown.</ns0:v>
      </ns0:c>
      <ns0:c r="F479" s="9" t="str">
        <ns0:f>HYPERLINK("https://physics.aimersociety.com/rocket-lab/parts/propellant-isolation-valve","https://physics.aimersociety.com/rocket-lab/parts/propellant-isolation-valve")</ns0:f>
        <ns0:v>https://physics.aimersociety.com/rocket-lab/parts/propellant-isolation-valve</ns0:v>
      </ns0:c>
      <ns0:c r="G479" s="8" t="str">
        <ns0:v>/rocket-lab/parts/propellant-isolation-valve</ns0:v>
      </ns0:c>
      <ns0:c r="H479" s="8" t="str">
        <ns0:v>src/data/rocketParts/index.ts</ns0:v>
      </ns0:c>
      <ns0:c r="I479" s="8" t="str"/>
    </ns0:row>
    <ns0:row r="480" ht="82" customHeight="1">
      <ns0:c r="A480" s="8" t="n">
        <ns0:v>474</ns0:v>
      </ns0:c>
      <ns0:c r="B480" s="8" t="str">
        <ns0:v>Propellant-Level Sensor</ns0:v>
      </ns0:c>
      <ns0:c r="C480" s="8" t="str">
        <ns0:v>Propellant Storage &amp; Feed / Propellant Storage &amp; Feed</ns0:v>
      </ns0:c>
      <ns0:c r="D480" s="8" t="str">
        <ns0:v>Rocket component</ns0:v>
      </ns0:c>
      <ns0:c r="E480" s="8" t="str">
        <ns0:v>Measures or estimates remaining propellant.</ns0:v>
      </ns0:c>
      <ns0:c r="F480" s="9" t="str">
        <ns0:f>HYPERLINK("https://physics.aimersociety.com/rocket-lab/parts/propellant-level-sensor","https://physics.aimersociety.com/rocket-lab/parts/propellant-level-sensor")</ns0:f>
        <ns0:v>https://physics.aimersociety.com/rocket-lab/parts/propellant-level-sensor</ns0:v>
      </ns0:c>
      <ns0:c r="G480" s="8" t="str">
        <ns0:v>/rocket-lab/parts/propellant-level-sensor</ns0:v>
      </ns0:c>
      <ns0:c r="H480" s="8" t="str">
        <ns0:v>src/data/rocketParts/index.ts</ns0:v>
      </ns0:c>
      <ns0:c r="I480" s="8" t="str"/>
    </ns0:row>
    <ns0:row r="481" ht="82" customHeight="1">
      <ns0:c r="A481" s="8" t="n">
        <ns0:v>475</ns0:v>
      </ns0:c>
      <ns0:c r="B481" s="8" t="str">
        <ns0:v>Relief Valve</ns0:v>
      </ns0:c>
      <ns0:c r="C481" s="8" t="str">
        <ns0:v>Propellant Storage &amp; Feed / Propellant Storage &amp; Feed</ns0:v>
      </ns0:c>
      <ns0:c r="D481" s="8" t="str">
        <ns0:v>Rocket component</ns0:v>
      </ns0:c>
      <ns0:c r="E481" s="8" t="str">
        <ns0:v>Protects tanks and lines from excessive pressure.</ns0:v>
      </ns0:c>
      <ns0:c r="F481" s="9" t="str">
        <ns0:f>HYPERLINK("https://physics.aimersociety.com/rocket-lab/parts/relief-valve","https://physics.aimersociety.com/rocket-lab/parts/relief-valve")</ns0:f>
        <ns0:v>https://physics.aimersociety.com/rocket-lab/parts/relief-valve</ns0:v>
      </ns0:c>
      <ns0:c r="G481" s="8" t="str">
        <ns0:v>/rocket-lab/parts/relief-valve</ns0:v>
      </ns0:c>
      <ns0:c r="H481" s="8" t="str">
        <ns0:v>src/data/rocketParts/index.ts</ns0:v>
      </ns0:c>
      <ns0:c r="I481" s="8" t="str"/>
    </ns0:row>
    <ns0:row r="482" ht="82" customHeight="1">
      <ns0:c r="A482" s="8" t="n">
        <ns0:v>476</ns0:v>
      </ns0:c>
      <ns0:c r="B482" s="8" t="str">
        <ns0:v>Slosh Sensor</ns0:v>
      </ns0:c>
      <ns0:c r="C482" s="8" t="str">
        <ns0:v>Propellant Storage &amp; Feed / Propellant Storage &amp; Feed</ns0:v>
      </ns0:c>
      <ns0:c r="D482" s="8" t="str">
        <ns0:v>Rocket component</ns0:v>
      </ns0:c>
      <ns0:c r="E482" s="8" t="str">
        <ns0:v>Measures propellant movement within a tank.</ns0:v>
      </ns0:c>
      <ns0:c r="F482" s="9" t="str">
        <ns0:f>HYPERLINK("https://physics.aimersociety.com/rocket-lab/parts/slosh-sensor","https://physics.aimersociety.com/rocket-lab/parts/slosh-sensor")</ns0:f>
        <ns0:v>https://physics.aimersociety.com/rocket-lab/parts/slosh-sensor</ns0:v>
      </ns0:c>
      <ns0:c r="G482" s="8" t="str">
        <ns0:v>/rocket-lab/parts/slosh-sensor</ns0:v>
      </ns0:c>
      <ns0:c r="H482" s="8" t="str">
        <ns0:v>src/data/rocketParts/index.ts</ns0:v>
      </ns0:c>
      <ns0:c r="I482" s="8" t="str"/>
    </ns0:row>
    <ns0:row r="483" ht="82" customHeight="1">
      <ns0:c r="A483" s="8" t="n">
        <ns0:v>477</ns0:v>
      </ns0:c>
      <ns0:c r="B483" s="8" t="str">
        <ns0:v>Tank Insulation</ns0:v>
      </ns0:c>
      <ns0:c r="C483" s="8" t="str">
        <ns0:v>Propellant Storage &amp; Feed / Propellant Storage &amp; Feed</ns0:v>
      </ns0:c>
      <ns0:c r="D483" s="8" t="str">
        <ns0:v>Rocket component</ns0:v>
      </ns0:c>
      <ns0:c r="E483" s="8" t="str">
        <ns0:v>Reduces heat transfer, propellant boil-off, and external condensation or icing.</ns0:v>
      </ns0:c>
      <ns0:c r="F483" s="9" t="str">
        <ns0:f>HYPERLINK("https://physics.aimersociety.com/rocket-lab/parts/tank-insulation","https://physics.aimersociety.com/rocket-lab/parts/tank-insulation")</ns0:f>
        <ns0:v>https://physics.aimersociety.com/rocket-lab/parts/tank-insulation</ns0:v>
      </ns0:c>
      <ns0:c r="G483" s="8" t="str">
        <ns0:v>/rocket-lab/parts/tank-insulation</ns0:v>
      </ns0:c>
      <ns0:c r="H483" s="8" t="str">
        <ns0:v>src/data/rocketParts/index.ts</ns0:v>
      </ns0:c>
      <ns0:c r="I483" s="8" t="str"/>
    </ns0:row>
    <ns0:row r="484" ht="82" customHeight="1">
      <ns0:c r="A484" s="8" t="n">
        <ns0:v>478</ns0:v>
      </ns0:c>
      <ns0:c r="B484" s="8" t="str">
        <ns0:v>Tank Liner</ns0:v>
      </ns0:c>
      <ns0:c r="C484" s="8" t="str">
        <ns0:v>Propellant Storage &amp; Feed / Propellant Storage &amp; Feed</ns0:v>
      </ns0:c>
      <ns0:c r="D484" s="8" t="str">
        <ns0:v>Rocket component</ns0:v>
      </ns0:c>
      <ns0:c r="E484" s="8" t="str">
        <ns0:v>Provides fluid containment or compatibility within a composite or multi-material tank.</ns0:v>
      </ns0:c>
      <ns0:c r="F484" s="9" t="str">
        <ns0:f>HYPERLINK("https://physics.aimersociety.com/rocket-lab/parts/tank-liner","https://physics.aimersociety.com/rocket-lab/parts/tank-liner")</ns0:f>
        <ns0:v>https://physics.aimersociety.com/rocket-lab/parts/tank-liner</ns0:v>
      </ns0:c>
      <ns0:c r="G484" s="8" t="str">
        <ns0:v>/rocket-lab/parts/tank-liner</ns0:v>
      </ns0:c>
      <ns0:c r="H484" s="8" t="str">
        <ns0:v>src/data/rocketParts/index.ts</ns0:v>
      </ns0:c>
      <ns0:c r="I484" s="8" t="str"/>
    </ns0:row>
    <ns0:row r="485" ht="82" customHeight="1">
      <ns0:c r="A485" s="8" t="n">
        <ns0:v>479</ns0:v>
      </ns0:c>
      <ns0:c r="B485" s="8" t="str">
        <ns0:v>Tank Pressure Sensor</ns0:v>
      </ns0:c>
      <ns0:c r="C485" s="8" t="str">
        <ns0:v>Propellant Storage &amp; Feed / Propellant Storage &amp; Feed</ns0:v>
      </ns0:c>
      <ns0:c r="D485" s="8" t="str">
        <ns0:v>Rocket component</ns0:v>
      </ns0:c>
      <ns0:c r="E485" s="8" t="str">
        <ns0:v>Monitors internal tank pressure.</ns0:v>
      </ns0:c>
      <ns0:c r="F485" s="9" t="str">
        <ns0:f>HYPERLINK("https://physics.aimersociety.com/rocket-lab/parts/tank-pressure-sensor","https://physics.aimersociety.com/rocket-lab/parts/tank-pressure-sensor")</ns0:f>
        <ns0:v>https://physics.aimersociety.com/rocket-lab/parts/tank-pressure-sensor</ns0:v>
      </ns0:c>
      <ns0:c r="G485" s="8" t="str">
        <ns0:v>/rocket-lab/parts/tank-pressure-sensor</ns0:v>
      </ns0:c>
      <ns0:c r="H485" s="8" t="str">
        <ns0:v>src/data/rocketParts/index.ts</ns0:v>
      </ns0:c>
      <ns0:c r="I485" s="8" t="str"/>
    </ns0:row>
    <ns0:row r="486" ht="82" customHeight="1">
      <ns0:c r="A486" s="8" t="n">
        <ns0:v>480</ns0:v>
      </ns0:c>
      <ns0:c r="B486" s="8" t="str">
        <ns0:v>Tank Vent</ns0:v>
      </ns0:c>
      <ns0:c r="C486" s="8" t="str">
        <ns0:v>Propellant Storage &amp; Feed / Propellant Storage &amp; Feed</ns0:v>
      </ns0:c>
      <ns0:c r="D486" s="8" t="str">
        <ns0:v>Rocket component</ns0:v>
      </ns0:c>
      <ns0:c r="E486" s="8" t="str">
        <ns0:v>Routes vented gas safely away from the vehicle.</ns0:v>
      </ns0:c>
      <ns0:c r="F486" s="9" t="str">
        <ns0:f>HYPERLINK("https://physics.aimersociety.com/rocket-lab/parts/tank-vent","https://physics.aimersociety.com/rocket-lab/parts/tank-vent")</ns0:f>
        <ns0:v>https://physics.aimersociety.com/rocket-lab/parts/tank-vent</ns0:v>
      </ns0:c>
      <ns0:c r="G486" s="8" t="str">
        <ns0:v>/rocket-lab/parts/tank-vent</ns0:v>
      </ns0:c>
      <ns0:c r="H486" s="8" t="str">
        <ns0:v>src/data/rocketParts/index.ts</ns0:v>
      </ns0:c>
      <ns0:c r="I486" s="8" t="str"/>
    </ns0:row>
    <ns0:row r="487" ht="82" customHeight="1">
      <ns0:c r="A487" s="8" t="n">
        <ns0:v>481</ns0:v>
      </ns0:c>
      <ns0:c r="B487" s="8" t="str">
        <ns0:v>Temperature Sensor</ns0:v>
      </ns0:c>
      <ns0:c r="C487" s="8" t="str">
        <ns0:v>Propellant Storage &amp; Feed / Propellant Storage &amp; Feed</ns0:v>
      </ns0:c>
      <ns0:c r="D487" s="8" t="str">
        <ns0:v>Rocket component</ns0:v>
      </ns0:c>
      <ns0:c r="E487" s="8" t="str">
        <ns0:v>Measures propellant, line, tank, or engine temperature.</ns0:v>
      </ns0:c>
      <ns0:c r="F487" s="9" t="str">
        <ns0:f>HYPERLINK("https://physics.aimersociety.com/rocket-lab/parts/temperature-sensor","https://physics.aimersociety.com/rocket-lab/parts/temperature-sensor")</ns0:f>
        <ns0:v>https://physics.aimersociety.com/rocket-lab/parts/temperature-sensor</ns0:v>
      </ns0:c>
      <ns0:c r="G487" s="8" t="str">
        <ns0:v>/rocket-lab/parts/temperature-sensor</ns0:v>
      </ns0:c>
      <ns0:c r="H487" s="8" t="str">
        <ns0:v>src/data/rocketParts/index.ts</ns0:v>
      </ns0:c>
      <ns0:c r="I487" s="8" t="str"/>
    </ns0:row>
    <ns0:row r="488" ht="82" customHeight="1">
      <ns0:c r="A488" s="8" t="n">
        <ns0:v>482</ns0:v>
      </ns0:c>
      <ns0:c r="B488" s="8" t="str">
        <ns0:v>Ullage Volume</ns0:v>
      </ns0:c>
      <ns0:c r="C488" s="8" t="str">
        <ns0:v>Propellant Storage &amp; Feed / Propellant Storage &amp; Feed</ns0:v>
      </ns0:c>
      <ns0:c r="D488" s="8" t="str">
        <ns0:v>Rocket component</ns0:v>
      </ns0:c>
      <ns0:c r="E488" s="8" t="str">
        <ns0:v>Provides gas space above the liquid propellant for expansion and pressure management.</ns0:v>
      </ns0:c>
      <ns0:c r="F488" s="9" t="str">
        <ns0:f>HYPERLINK("https://physics.aimersociety.com/rocket-lab/parts/ullage-volume","https://physics.aimersociety.com/rocket-lab/parts/ullage-volume")</ns0:f>
        <ns0:v>https://physics.aimersociety.com/rocket-lab/parts/ullage-volume</ns0:v>
      </ns0:c>
      <ns0:c r="G488" s="8" t="str">
        <ns0:v>/rocket-lab/parts/ullage-volume</ns0:v>
      </ns0:c>
      <ns0:c r="H488" s="8" t="str">
        <ns0:v>src/data/rocketParts/index.ts</ns0:v>
      </ns0:c>
      <ns0:c r="I488" s="8" t="str"/>
    </ns0:row>
    <ns0:row r="489" ht="82" customHeight="1">
      <ns0:c r="A489" s="8" t="n">
        <ns0:v>483</ns0:v>
      </ns0:c>
      <ns0:c r="B489" s="8" t="str">
        <ns0:v>Vent Valve</ns0:v>
      </ns0:c>
      <ns0:c r="C489" s="8" t="str">
        <ns0:v>Propellant Storage &amp; Feed / Propellant Storage &amp; Feed</ns0:v>
      </ns0:c>
      <ns0:c r="D489" s="8" t="str">
        <ns0:v>Rocket component</ns0:v>
      </ns0:c>
      <ns0:c r="E489" s="8" t="str">
        <ns0:v>Releases gas to control tank pressure.</ns0:v>
      </ns0:c>
      <ns0:c r="F489" s="9" t="str">
        <ns0:f>HYPERLINK("https://physics.aimersociety.com/rocket-lab/parts/vent-valve","https://physics.aimersociety.com/rocket-lab/parts/vent-valve")</ns0:f>
        <ns0:v>https://physics.aimersociety.com/rocket-lab/parts/vent-valve</ns0:v>
      </ns0:c>
      <ns0:c r="G489" s="8" t="str">
        <ns0:v>/rocket-lab/parts/vent-valve</ns0:v>
      </ns0:c>
      <ns0:c r="H489" s="8" t="str">
        <ns0:v>src/data/rocketParts/index.ts</ns0:v>
      </ns0:c>
      <ns0:c r="I489" s="8" t="str"/>
    </ns0:row>
    <ns0:row r="490" ht="82" customHeight="1">
      <ns0:c r="A490" s="8" t="n">
        <ns0:v>484</ns0:v>
      </ns0:c>
      <ns0:c r="B490" s="8" t="str">
        <ns0:v>Combustion Chamber</ns0:v>
      </ns0:c>
      <ns0:c r="C490" s="8" t="str">
        <ns0:v>Propulsion System / Propulsion</ns0:v>
      </ns0:c>
      <ns0:c r="D490" s="8" t="str">
        <ns0:v>Rocket component</ns0:v>
      </ns0:c>
      <ns0:c r="E490" s="8" t="str">
        <ns0:v>Contains high-pressure combustion and converts propellant chemical energy into hot gas.</ns0:v>
      </ns0:c>
      <ns0:c r="F490" s="9" t="str">
        <ns0:f>HYPERLINK("https://physics.aimersociety.com/rocket-lab/parts/combustion-chamber","https://physics.aimersociety.com/rocket-lab/parts/combustion-chamber")</ns0:f>
        <ns0:v>https://physics.aimersociety.com/rocket-lab/parts/combustion-chamber</ns0:v>
      </ns0:c>
      <ns0:c r="G490" s="8" t="str">
        <ns0:v>/rocket-lab/parts/combustion-chamber</ns0:v>
      </ns0:c>
      <ns0:c r="H490" s="8" t="str">
        <ns0:v>src/data/rocketParts/index.ts</ns0:v>
      </ns0:c>
      <ns0:c r="I490" s="8" t="str"/>
    </ns0:row>
    <ns0:row r="491" ht="82" customHeight="1">
      <ns0:c r="A491" s="8" t="n">
        <ns0:v>485</ns0:v>
      </ns0:c>
      <ns0:c r="B491" s="8" t="str">
        <ns0:v>Cooling Channels</ns0:v>
      </ns0:c>
      <ns0:c r="C491" s="8" t="str">
        <ns0:v>Propulsion System / Propulsion</ns0:v>
      </ns0:c>
      <ns0:c r="D491" s="8" t="str">
        <ns0:v>Rocket component</ns0:v>
      </ns0:c>
      <ns0:c r="E491" s="8" t="str">
        <ns0:v>Remove heat from the chamber and nozzle walls.</ns0:v>
      </ns0:c>
      <ns0:c r="F491" s="9" t="str">
        <ns0:f>HYPERLINK("https://physics.aimersociety.com/rocket-lab/parts/cooling-channels","https://physics.aimersociety.com/rocket-lab/parts/cooling-channels")</ns0:f>
        <ns0:v>https://physics.aimersociety.com/rocket-lab/parts/cooling-channels</ns0:v>
      </ns0:c>
      <ns0:c r="G491" s="8" t="str">
        <ns0:v>/rocket-lab/parts/cooling-channels</ns0:v>
      </ns0:c>
      <ns0:c r="H491" s="8" t="str">
        <ns0:v>src/data/rocketParts/index.ts</ns0:v>
      </ns0:c>
      <ns0:c r="I491" s="8" t="str"/>
    </ns0:row>
    <ns0:row r="492" ht="82" customHeight="1">
      <ns0:c r="A492" s="8" t="n">
        <ns0:v>486</ns0:v>
      </ns0:c>
      <ns0:c r="B492" s="8" t="str">
        <ns0:v>Engine Controller</ns0:v>
      </ns0:c>
      <ns0:c r="C492" s="8" t="str">
        <ns0:v>Propulsion System / Propulsion</ns0:v>
      </ns0:c>
      <ns0:c r="D492" s="8" t="str">
        <ns0:v>Rocket component</ns0:v>
      </ns0:c>
      <ns0:c r="E492" s="8" t="str">
        <ns0:v>Executes startup, throttling, mixture-ratio control, monitoring, and shutdown logic.</ns0:v>
      </ns0:c>
      <ns0:c r="F492" s="9" t="str">
        <ns0:f>HYPERLINK("https://physics.aimersociety.com/rocket-lab/parts/engine-controller","https://physics.aimersociety.com/rocket-lab/parts/engine-controller")</ns0:f>
        <ns0:v>https://physics.aimersociety.com/rocket-lab/parts/engine-controller</ns0:v>
      </ns0:c>
      <ns0:c r="G492" s="8" t="str">
        <ns0:v>/rocket-lab/parts/engine-controller</ns0:v>
      </ns0:c>
      <ns0:c r="H492" s="8" t="str">
        <ns0:v>src/data/rocketParts/index.ts</ns0:v>
      </ns0:c>
      <ns0:c r="I492" s="8" t="str"/>
    </ns0:row>
    <ns0:row r="493" ht="82" customHeight="1">
      <ns0:c r="A493" s="8" t="n">
        <ns0:v>487</ns0:v>
      </ns0:c>
      <ns0:c r="B493" s="8" t="str">
        <ns0:v>Engine Mount</ns0:v>
      </ns0:c>
      <ns0:c r="C493" s="8" t="str">
        <ns0:v>Propulsion System / Propulsion</ns0:v>
      </ns0:c>
      <ns0:c r="D493" s="8" t="str">
        <ns0:v>Rocket component</ns0:v>
      </ns0:c>
      <ns0:c r="E493" s="8" t="str">
        <ns0:v>Mechanically attaches the engine to the thrust structure.</ns0:v>
      </ns0:c>
      <ns0:c r="F493" s="9" t="str">
        <ns0:f>HYPERLINK("https://physics.aimersociety.com/rocket-lab/parts/engine-mount","https://physics.aimersociety.com/rocket-lab/parts/engine-mount")</ns0:f>
        <ns0:v>https://physics.aimersociety.com/rocket-lab/parts/engine-mount</ns0:v>
      </ns0:c>
      <ns0:c r="G493" s="8" t="str">
        <ns0:v>/rocket-lab/parts/engine-mount</ns0:v>
      </ns0:c>
      <ns0:c r="H493" s="8" t="str">
        <ns0:v>src/data/rocketParts/index.ts</ns0:v>
      </ns0:c>
      <ns0:c r="I493" s="8" t="str"/>
    </ns0:row>
    <ns0:row r="494" ht="82" customHeight="1">
      <ns0:c r="A494" s="8" t="n">
        <ns0:v>488</ns0:v>
      </ns0:c>
      <ns0:c r="B494" s="8" t="str">
        <ns0:v>Engine Purge System</ns0:v>
      </ns0:c>
      <ns0:c r="C494" s="8" t="str">
        <ns0:v>Propulsion System / Propulsion</ns0:v>
      </ns0:c>
      <ns0:c r="D494" s="8" t="str">
        <ns0:v>Rocket component</ns0:v>
      </ns0:c>
      <ns0:c r="E494" s="8" t="str">
        <ns0:v>Uses an inert gas to remove hazardous mixtures or contaminants from engine cavities and lines.</ns0:v>
      </ns0:c>
      <ns0:c r="F494" s="9" t="str">
        <ns0:f>HYPERLINK("https://physics.aimersociety.com/rocket-lab/parts/engine-purge-system","https://physics.aimersociety.com/rocket-lab/parts/engine-purge-system")</ns0:f>
        <ns0:v>https://physics.aimersociety.com/rocket-lab/parts/engine-purge-system</ns0:v>
      </ns0:c>
      <ns0:c r="G494" s="8" t="str">
        <ns0:v>/rocket-lab/parts/engine-purge-system</ns0:v>
      </ns0:c>
      <ns0:c r="H494" s="8" t="str">
        <ns0:v>src/data/rocketParts/index.ts</ns0:v>
      </ns0:c>
      <ns0:c r="I494" s="8" t="str"/>
    </ns0:row>
    <ns0:row r="495" ht="82" customHeight="1">
      <ns0:c r="A495" s="8" t="n">
        <ns0:v>489</ns0:v>
      </ns0:c>
      <ns0:c r="B495" s="8" t="str">
        <ns0:v>Engine Sensors</ns0:v>
      </ns0:c>
      <ns0:c r="C495" s="8" t="str">
        <ns0:v>Propulsion System / Propulsion</ns0:v>
      </ns0:c>
      <ns0:c r="D495" s="8" t="str">
        <ns0:v>Rocket component</ns0:v>
      </ns0:c>
      <ns0:c r="E495" s="8" t="str">
        <ns0:v>Measure pressures, temperatures, vibration, speed, valve state, and other health parameters.</ns0:v>
      </ns0:c>
      <ns0:c r="F495" s="9" t="str">
        <ns0:f>HYPERLINK("https://physics.aimersociety.com/rocket-lab/parts/engine-sensors","https://physics.aimersociety.com/rocket-lab/parts/engine-sensors")</ns0:f>
        <ns0:v>https://physics.aimersociety.com/rocket-lab/parts/engine-sensors</ns0:v>
      </ns0:c>
      <ns0:c r="G495" s="8" t="str">
        <ns0:v>/rocket-lab/parts/engine-sensors</ns0:v>
      </ns0:c>
      <ns0:c r="H495" s="8" t="str">
        <ns0:v>src/data/rocketParts/index.ts</ns0:v>
      </ns0:c>
      <ns0:c r="I495" s="8" t="str"/>
    </ns0:row>
    <ns0:row r="496" ht="82" customHeight="1">
      <ns0:c r="A496" s="8" t="n">
        <ns0:v>490</ns0:v>
      </ns0:c>
      <ns0:c r="B496" s="8" t="str">
        <ns0:v>Fuel Pump</ns0:v>
      </ns0:c>
      <ns0:c r="C496" s="8" t="str">
        <ns0:v>Propulsion System / Propulsion</ns0:v>
      </ns0:c>
      <ns0:c r="D496" s="8" t="str">
        <ns0:v>Rocket component</ns0:v>
      </ns0:c>
      <ns0:c r="E496" s="8" t="str">
        <ns0:v>Pressurizes and moves fuel toward the engine.</ns0:v>
      </ns0:c>
      <ns0:c r="F496" s="9" t="str">
        <ns0:f>HYPERLINK("https://physics.aimersociety.com/rocket-lab/parts/fuel-pump","https://physics.aimersociety.com/rocket-lab/parts/fuel-pump")</ns0:f>
        <ns0:v>https://physics.aimersociety.com/rocket-lab/parts/fuel-pump</ns0:v>
      </ns0:c>
      <ns0:c r="G496" s="8" t="str">
        <ns0:v>/rocket-lab/parts/fuel-pump</ns0:v>
      </ns0:c>
      <ns0:c r="H496" s="8" t="str">
        <ns0:v>src/data/rocketParts/index.ts</ns0:v>
      </ns0:c>
      <ns0:c r="I496" s="8" t="str"/>
    </ns0:row>
    <ns0:row r="497" ht="82" customHeight="1">
      <ns0:c r="A497" s="8" t="n">
        <ns0:v>491</ns0:v>
      </ns0:c>
      <ns0:c r="B497" s="8" t="str">
        <ns0:v>Gas Generator</ns0:v>
      </ns0:c>
      <ns0:c r="C497" s="8" t="str">
        <ns0:v>Propulsion System / Propulsion</ns0:v>
      </ns0:c>
      <ns0:c r="D497" s="8" t="str">
        <ns0:v>Rocket component</ns0:v>
      </ns0:c>
      <ns0:c r="E497" s="8" t="str">
        <ns0:v>Produces hot gas to power the turbine.</ns0:v>
      </ns0:c>
      <ns0:c r="F497" s="9" t="str">
        <ns0:f>HYPERLINK("https://physics.aimersociety.com/rocket-lab/parts/gas-generator","https://physics.aimersociety.com/rocket-lab/parts/gas-generator")</ns0:f>
        <ns0:v>https://physics.aimersociety.com/rocket-lab/parts/gas-generator</ns0:v>
      </ns0:c>
      <ns0:c r="G497" s="8" t="str">
        <ns0:v>/rocket-lab/parts/gas-generator</ns0:v>
      </ns0:c>
      <ns0:c r="H497" s="8" t="str">
        <ns0:v>src/data/rocketParts/index.ts</ns0:v>
      </ns0:c>
      <ns0:c r="I497" s="8" t="str"/>
    </ns0:row>
    <ns0:row r="498" ht="82" customHeight="1">
      <ns0:c r="A498" s="8" t="n">
        <ns0:v>492</ns0:v>
      </ns0:c>
      <ns0:c r="B498" s="8" t="str">
        <ns0:v>Gimbal Assembly</ns0:v>
      </ns0:c>
      <ns0:c r="C498" s="8" t="str">
        <ns0:v>Propulsion System / Propulsion</ns0:v>
      </ns0:c>
      <ns0:c r="D498" s="8" t="str">
        <ns0:v>Rocket component</ns0:v>
      </ns0:c>
      <ns0:c r="E498" s="8" t="str">
        <ns0:v>Allows the engine to pivot and redirect thrust for vehicle control.</ns0:v>
      </ns0:c>
      <ns0:c r="F498" s="9" t="str">
        <ns0:f>HYPERLINK("https://physics.aimersociety.com/rocket-lab/parts/gimbal-assembly","https://physics.aimersociety.com/rocket-lab/parts/gimbal-assembly")</ns0:f>
        <ns0:v>https://physics.aimersociety.com/rocket-lab/parts/gimbal-assembly</ns0:v>
      </ns0:c>
      <ns0:c r="G498" s="8" t="str">
        <ns0:v>/rocket-lab/parts/gimbal-assembly</ns0:v>
      </ns0:c>
      <ns0:c r="H498" s="8" t="str">
        <ns0:v>src/data/rocketParts/index.ts</ns0:v>
      </ns0:c>
      <ns0:c r="I498" s="8" t="str"/>
    </ns0:row>
    <ns0:row r="499" ht="82" customHeight="1">
      <ns0:c r="A499" s="8" t="n">
        <ns0:v>493</ns0:v>
      </ns0:c>
      <ns0:c r="B499" s="8" t="str">
        <ns0:v>Grain Port</ns0:v>
      </ns0:c>
      <ns0:c r="C499" s="8" t="str">
        <ns0:v>Propulsion System / Propulsion</ns0:v>
      </ns0:c>
      <ns0:c r="D499" s="8" t="str">
        <ns0:v>Rocket component</ns0:v>
      </ns0:c>
      <ns0:c r="E499" s="8" t="str">
        <ns0:v>Defines the internal burning surface and influences the thrust-time profile.</ns0:v>
      </ns0:c>
      <ns0:c r="F499" s="9" t="str">
        <ns0:f>HYPERLINK("https://physics.aimersociety.com/rocket-lab/parts/grain-port","https://physics.aimersociety.com/rocket-lab/parts/grain-port")</ns0:f>
        <ns0:v>https://physics.aimersociety.com/rocket-lab/parts/grain-port</ns0:v>
      </ns0:c>
      <ns0:c r="G499" s="8" t="str">
        <ns0:v>/rocket-lab/parts/grain-port</ns0:v>
      </ns0:c>
      <ns0:c r="H499" s="8" t="str">
        <ns0:v>src/data/rocketParts/index.ts</ns0:v>
      </ns0:c>
      <ns0:c r="I499" s="8" t="str"/>
    </ns0:row>
    <ns0:row r="500" ht="82" customHeight="1">
      <ns0:c r="A500" s="8" t="n">
        <ns0:v>494</ns0:v>
      </ns0:c>
      <ns0:c r="B500" s="8" t="str">
        <ns0:v>Hybrid Fuel Grain</ns0:v>
      </ns0:c>
      <ns0:c r="C500" s="8" t="str">
        <ns0:v>Propulsion System / Propulsion</ns0:v>
      </ns0:c>
      <ns0:c r="D500" s="8" t="str">
        <ns0:v>Rocket component</ns0:v>
      </ns0:c>
      <ns0:c r="E500" s="8" t="str">
        <ns0:v>Supplies solid fuel while a separately stored oxidizer flows through the grain port.</ns0:v>
      </ns0:c>
      <ns0:c r="F500" s="9" t="str">
        <ns0:f>HYPERLINK("https://physics.aimersociety.com/rocket-lab/parts/hybrid-fuel-grain","https://physics.aimersociety.com/rocket-lab/parts/hybrid-fuel-grain")</ns0:f>
        <ns0:v>https://physics.aimersociety.com/rocket-lab/parts/hybrid-fuel-grain</ns0:v>
      </ns0:c>
      <ns0:c r="G500" s="8" t="str">
        <ns0:v>/rocket-lab/parts/hybrid-fuel-grain</ns0:v>
      </ns0:c>
      <ns0:c r="H500" s="8" t="str">
        <ns0:v>src/data/rocketParts/index.ts</ns0:v>
      </ns0:c>
      <ns0:c r="I500" s="8" t="str"/>
    </ns0:row>
    <ns0:row r="501" ht="82" customHeight="1">
      <ns0:c r="A501" s="8" t="n">
        <ns0:v>495</ns0:v>
      </ns0:c>
      <ns0:c r="B501" s="8" t="str">
        <ns0:v>Hybrid Oxidizer Injector</ns0:v>
      </ns0:c>
      <ns0:c r="C501" s="8" t="str">
        <ns0:v>Propulsion System / Propulsion</ns0:v>
      </ns0:c>
      <ns0:c r="D501" s="8" t="str">
        <ns0:v>Rocket component</ns0:v>
      </ns0:c>
      <ns0:c r="E501" s="8" t="str">
        <ns0:v>Introduces oxidizer into the hybrid motor combustion region.</ns0:v>
      </ns0:c>
      <ns0:c r="F501" s="9" t="str">
        <ns0:f>HYPERLINK("https://physics.aimersociety.com/rocket-lab/parts/hybrid-oxidizer-injector","https://physics.aimersociety.com/rocket-lab/parts/hybrid-oxidizer-injector")</ns0:f>
        <ns0:v>https://physics.aimersociety.com/rocket-lab/parts/hybrid-oxidizer-injector</ns0:v>
      </ns0:c>
      <ns0:c r="G501" s="8" t="str">
        <ns0:v>/rocket-lab/parts/hybrid-oxidizer-injector</ns0:v>
      </ns0:c>
      <ns0:c r="H501" s="8" t="str">
        <ns0:v>src/data/rocketParts/index.ts</ns0:v>
      </ns0:c>
      <ns0:c r="I501" s="8" t="str"/>
    </ns0:row>
    <ns0:row r="502" ht="82" customHeight="1">
      <ns0:c r="A502" s="8" t="n">
        <ns0:v>496</ns0:v>
      </ns0:c>
      <ns0:c r="B502" s="8" t="str">
        <ns0:v>Igniter</ns0:v>
      </ns0:c>
      <ns0:c r="C502" s="8" t="str">
        <ns0:v>Propulsion System / Propulsion</ns0:v>
      </ns0:c>
      <ns0:c r="D502" s="8" t="str">
        <ns0:v>Rocket component</ns0:v>
      </ns0:c>
      <ns0:c r="E502" s="8" t="str">
        <ns0:v>Initiates combustion during engine startup.</ns0:v>
      </ns0:c>
      <ns0:c r="F502" s="9" t="str">
        <ns0:f>HYPERLINK("https://physics.aimersociety.com/rocket-lab/parts/igniter","https://physics.aimersociety.com/rocket-lab/parts/igniter")</ns0:f>
        <ns0:v>https://physics.aimersociety.com/rocket-lab/parts/igniter</ns0:v>
      </ns0:c>
      <ns0:c r="G502" s="8" t="str">
        <ns0:v>/rocket-lab/parts/igniter</ns0:v>
      </ns0:c>
      <ns0:c r="H502" s="8" t="str">
        <ns0:v>src/data/rocketParts/index.ts</ns0:v>
      </ns0:c>
      <ns0:c r="I502" s="8" t="str"/>
    </ns0:row>
    <ns0:row r="503" ht="82" customHeight="1">
      <ns0:c r="A503" s="8" t="n">
        <ns0:v>497</ns0:v>
      </ns0:c>
      <ns0:c r="B503" s="8" t="str">
        <ns0:v>Injector</ns0:v>
      </ns0:c>
      <ns0:c r="C503" s="8" t="str">
        <ns0:v>Propulsion System / Propulsion</ns0:v>
      </ns0:c>
      <ns0:c r="D503" s="8" t="str">
        <ns0:v>Rocket component</ns0:v>
      </ns0:c>
      <ns0:c r="E503" s="8" t="str">
        <ns0:v>Meters, atomizes, and mixes fuel and oxidizer inside the combustion chamber.</ns0:v>
      </ns0:c>
      <ns0:c r="F503" s="9" t="str">
        <ns0:f>HYPERLINK("https://physics.aimersociety.com/rocket-lab/parts/injector","https://physics.aimersociety.com/rocket-lab/parts/injector")</ns0:f>
        <ns0:v>https://physics.aimersociety.com/rocket-lab/parts/injector</ns0:v>
      </ns0:c>
      <ns0:c r="G503" s="8" t="str">
        <ns0:v>/rocket-lab/parts/injector</ns0:v>
      </ns0:c>
      <ns0:c r="H503" s="8" t="str">
        <ns0:v>src/data/rocketParts/index.ts</ns0:v>
      </ns0:c>
      <ns0:c r="I503" s="8" t="str"/>
    </ns0:row>
    <ns0:row r="504" ht="82" customHeight="1">
      <ns0:c r="A504" s="8" t="n">
        <ns0:v>498</ns0:v>
      </ns0:c>
      <ns0:c r="B504" s="8" t="str">
        <ns0:v>Injector Face</ns0:v>
      </ns0:c>
      <ns0:c r="C504" s="8" t="str">
        <ns0:v>Propulsion System / Propulsion</ns0:v>
      </ns0:c>
      <ns0:c r="D504" s="8" t="str">
        <ns0:v>Rocket component</ns0:v>
      </ns0:c>
      <ns0:c r="E504" s="8" t="str">
        <ns0:v>Contains the injector elements through which propellants enter the chamber.</ns0:v>
      </ns0:c>
      <ns0:c r="F504" s="9" t="str">
        <ns0:f>HYPERLINK("https://physics.aimersociety.com/rocket-lab/parts/injector-face","https://physics.aimersociety.com/rocket-lab/parts/injector-face")</ns0:f>
        <ns0:v>https://physics.aimersociety.com/rocket-lab/parts/injector-face</ns0:v>
      </ns0:c>
      <ns0:c r="G504" s="8" t="str">
        <ns0:v>/rocket-lab/parts/injector-face</ns0:v>
      </ns0:c>
      <ns0:c r="H504" s="8" t="str">
        <ns0:v>src/data/rocketParts/index.ts</ns0:v>
      </ns0:c>
      <ns0:c r="I504" s="8" t="str"/>
    </ns0:row>
    <ns0:row r="505" ht="82" customHeight="1">
      <ns0:c r="A505" s="8" t="n">
        <ns0:v>499</ns0:v>
      </ns0:c>
      <ns0:c r="B505" s="8" t="str">
        <ns0:v>Main Fuel Valve</ns0:v>
      </ns0:c>
      <ns0:c r="C505" s="8" t="str">
        <ns0:v>Propulsion System / Propulsion</ns0:v>
      </ns0:c>
      <ns0:c r="D505" s="8" t="str">
        <ns0:v>Rocket component</ns0:v>
      </ns0:c>
      <ns0:c r="E505" s="8" t="str">
        <ns0:v>Controls fuel flow into the engine.</ns0:v>
      </ns0:c>
      <ns0:c r="F505" s="9" t="str">
        <ns0:f>HYPERLINK("https://physics.aimersociety.com/rocket-lab/parts/main-fuel-valve","https://physics.aimersociety.com/rocket-lab/parts/main-fuel-valve")</ns0:f>
        <ns0:v>https://physics.aimersociety.com/rocket-lab/parts/main-fuel-valve</ns0:v>
      </ns0:c>
      <ns0:c r="G505" s="8" t="str">
        <ns0:v>/rocket-lab/parts/main-fuel-valve</ns0:v>
      </ns0:c>
      <ns0:c r="H505" s="8" t="str">
        <ns0:v>src/data/rocketParts/index.ts</ns0:v>
      </ns0:c>
      <ns0:c r="I505" s="8" t="str"/>
    </ns0:row>
    <ns0:row r="506" ht="82" customHeight="1">
      <ns0:c r="A506" s="8" t="n">
        <ns0:v>500</ns0:v>
      </ns0:c>
      <ns0:c r="B506" s="8" t="str">
        <ns0:v>Main Oxidizer Valve</ns0:v>
      </ns0:c>
      <ns0:c r="C506" s="8" t="str">
        <ns0:v>Propulsion System / Propulsion</ns0:v>
      </ns0:c>
      <ns0:c r="D506" s="8" t="str">
        <ns0:v>Rocket component</ns0:v>
      </ns0:c>
      <ns0:c r="E506" s="8" t="str">
        <ns0:v>Controls oxidizer flow into the engine.</ns0:v>
      </ns0:c>
      <ns0:c r="F506" s="9" t="str">
        <ns0:f>HYPERLINK("https://physics.aimersociety.com/rocket-lab/parts/main-oxidizer-valve","https://physics.aimersociety.com/rocket-lab/parts/main-oxidizer-valve")</ns0:f>
        <ns0:v>https://physics.aimersociety.com/rocket-lab/parts/main-oxidizer-valve</ns0:v>
      </ns0:c>
      <ns0:c r="G506" s="8" t="str">
        <ns0:v>/rocket-lab/parts/main-oxidizer-valve</ns0:v>
      </ns0:c>
      <ns0:c r="H506" s="8" t="str">
        <ns0:v>src/data/rocketParts/index.ts</ns0:v>
      </ns0:c>
      <ns0:c r="I506" s="8" t="str"/>
    </ns0:row>
    <ns0:row r="507" ht="82" customHeight="1">
      <ns0:c r="A507" s="8" t="n">
        <ns0:v>501</ns0:v>
      </ns0:c>
      <ns0:c r="B507" s="8" t="str">
        <ns0:v>Nozzle</ns0:v>
      </ns0:c>
      <ns0:c r="C507" s="8" t="str">
        <ns0:v>Propulsion System / Propulsion</ns0:v>
      </ns0:c>
      <ns0:c r="D507" s="8" t="str">
        <ns0:v>Rocket component</ns0:v>
      </ns0:c>
      <ns0:c r="E507" s="8" t="str">
        <ns0:v>Expands and accelerates combustion gases to produce thrust efficiently.</ns0:v>
      </ns0:c>
      <ns0:c r="F507" s="9" t="str">
        <ns0:f>HYPERLINK("https://physics.aimersociety.com/rocket-lab/parts/nozzle","https://physics.aimersociety.com/rocket-lab/parts/nozzle")</ns0:f>
        <ns0:v>https://physics.aimersociety.com/rocket-lab/parts/nozzle</ns0:v>
      </ns0:c>
      <ns0:c r="G507" s="8" t="str">
        <ns0:v>/rocket-lab/parts/nozzle</ns0:v>
      </ns0:c>
      <ns0:c r="H507" s="8" t="str">
        <ns0:v>src/data/rocketParts/index.ts</ns0:v>
      </ns0:c>
      <ns0:c r="I507" s="8" t="str"/>
    </ns0:row>
    <ns0:row r="508" ht="82" customHeight="1">
      <ns0:c r="A508" s="8" t="n">
        <ns0:v>502</ns0:v>
      </ns0:c>
      <ns0:c r="B508" s="8" t="str">
        <ns0:v>Nozzle Exit</ns0:v>
      </ns0:c>
      <ns0:c r="C508" s="8" t="str">
        <ns0:v>Propulsion System / Propulsion</ns0:v>
      </ns0:c>
      <ns0:c r="D508" s="8" t="str">
        <ns0:v>Rocket component</ns0:v>
      </ns0:c>
      <ns0:c r="E508" s="8" t="str">
        <ns0:v>Releases expanded exhaust gases from the engine.</ns0:v>
      </ns0:c>
      <ns0:c r="F508" s="9" t="str">
        <ns0:f>HYPERLINK("https://physics.aimersociety.com/rocket-lab/parts/nozzle-exit","https://physics.aimersociety.com/rocket-lab/parts/nozzle-exit")</ns0:f>
        <ns0:v>https://physics.aimersociety.com/rocket-lab/parts/nozzle-exit</ns0:v>
      </ns0:c>
      <ns0:c r="G508" s="8" t="str">
        <ns0:v>/rocket-lab/parts/nozzle-exit</ns0:v>
      </ns0:c>
      <ns0:c r="H508" s="8" t="str">
        <ns0:v>src/data/rocketParts/index.ts</ns0:v>
      </ns0:c>
      <ns0:c r="I508" s="8" t="str"/>
    </ns0:row>
    <ns0:row r="509" ht="82" customHeight="1">
      <ns0:c r="A509" s="8" t="n">
        <ns0:v>503</ns0:v>
      </ns0:c>
      <ns0:c r="B509" s="8" t="str">
        <ns0:v>Nozzle Extension</ns0:v>
      </ns0:c>
      <ns0:c r="C509" s="8" t="str">
        <ns0:v>Propulsion System / Propulsion</ns0:v>
      </ns0:c>
      <ns0:c r="D509" s="8" t="str">
        <ns0:v>Rocket component</ns0:v>
      </ns0:c>
      <ns0:c r="E509" s="8" t="str">
        <ns0:v>Increases expansion ratio and vacuum efficiency.</ns0:v>
      </ns0:c>
      <ns0:c r="F509" s="9" t="str">
        <ns0:f>HYPERLINK("https://physics.aimersociety.com/rocket-lab/parts/nozzle-extension","https://physics.aimersociety.com/rocket-lab/parts/nozzle-extension")</ns0:f>
        <ns0:v>https://physics.aimersociety.com/rocket-lab/parts/nozzle-extension</ns0:v>
      </ns0:c>
      <ns0:c r="G509" s="8" t="str">
        <ns0:v>/rocket-lab/parts/nozzle-extension</ns0:v>
      </ns0:c>
      <ns0:c r="H509" s="8" t="str">
        <ns0:v>src/data/rocketParts/index.ts</ns0:v>
      </ns0:c>
      <ns0:c r="I509" s="8" t="str"/>
    </ns0:row>
    <ns0:row r="510" ht="82" customHeight="1">
      <ns0:c r="A510" s="8" t="n">
        <ns0:v>504</ns0:v>
      </ns0:c>
      <ns0:c r="B510" s="8" t="str">
        <ns0:v>Nozzle Throat</ns0:v>
      </ns0:c>
      <ns0:c r="C510" s="8" t="str">
        <ns0:v>Propulsion System / Propulsion</ns0:v>
      </ns0:c>
      <ns0:c r="D510" s="8" t="str">
        <ns0:v>Rocket component</ns0:v>
      </ns0:c>
      <ns0:c r="E510" s="8" t="str">
        <ns0:v>Restricts flow to establish choked conditions and control chamber mass flow.</ns0:v>
      </ns0:c>
      <ns0:c r="F510" s="9" t="str">
        <ns0:f>HYPERLINK("https://physics.aimersociety.com/rocket-lab/parts/nozzle-throat","https://physics.aimersociety.com/rocket-lab/parts/nozzle-throat")</ns0:f>
        <ns0:v>https://physics.aimersociety.com/rocket-lab/parts/nozzle-throat</ns0:v>
      </ns0:c>
      <ns0:c r="G510" s="8" t="str">
        <ns0:v>/rocket-lab/parts/nozzle-throat</ns0:v>
      </ns0:c>
      <ns0:c r="H510" s="8" t="str">
        <ns0:v>src/data/rocketParts/index.ts</ns0:v>
      </ns0:c>
      <ns0:c r="I510" s="8" t="str"/>
    </ns0:row>
    <ns0:row r="511" ht="82" customHeight="1">
      <ns0:c r="A511" s="8" t="n">
        <ns0:v>505</ns0:v>
      </ns0:c>
      <ns0:c r="B511" s="8" t="str">
        <ns0:v>Oxidizer Pump</ns0:v>
      </ns0:c>
      <ns0:c r="C511" s="8" t="str">
        <ns0:v>Propulsion System / Propulsion</ns0:v>
      </ns0:c>
      <ns0:c r="D511" s="8" t="str">
        <ns0:v>Rocket component</ns0:v>
      </ns0:c>
      <ns0:c r="E511" s="8" t="str">
        <ns0:v>Pressurizes and moves oxidizer toward the engine.</ns0:v>
      </ns0:c>
      <ns0:c r="F511" s="9" t="str">
        <ns0:f>HYPERLINK("https://physics.aimersociety.com/rocket-lab/parts/oxidizer-pump","https://physics.aimersociety.com/rocket-lab/parts/oxidizer-pump")</ns0:f>
        <ns0:v>https://physics.aimersociety.com/rocket-lab/parts/oxidizer-pump</ns0:v>
      </ns0:c>
      <ns0:c r="G511" s="8" t="str">
        <ns0:v>/rocket-lab/parts/oxidizer-pump</ns0:v>
      </ns0:c>
      <ns0:c r="H511" s="8" t="str">
        <ns0:v>src/data/rocketParts/index.ts</ns0:v>
      </ns0:c>
      <ns0:c r="I511" s="8" t="str"/>
    </ns0:row>
    <ns0:row r="512" ht="82" customHeight="1">
      <ns0:c r="A512" s="8" t="n">
        <ns0:v>506</ns0:v>
      </ns0:c>
      <ns0:c r="B512" s="8" t="str">
        <ns0:v>Preburner</ns0:v>
      </ns0:c>
      <ns0:c r="C512" s="8" t="str">
        <ns0:v>Propulsion System / Propulsion</ns0:v>
      </ns0:c>
      <ns0:c r="D512" s="8" t="str">
        <ns0:v>Rocket component</ns0:v>
      </ns0:c>
      <ns0:c r="E512" s="8" t="str">
        <ns0:v>Partially burns propellant to drive turbomachinery before the flow reaches the main chamber.</ns0:v>
      </ns0:c>
      <ns0:c r="F512" s="9" t="str">
        <ns0:f>HYPERLINK("https://physics.aimersociety.com/rocket-lab/parts/preburner","https://physics.aimersociety.com/rocket-lab/parts/preburner")</ns0:f>
        <ns0:v>https://physics.aimersociety.com/rocket-lab/parts/preburner</ns0:v>
      </ns0:c>
      <ns0:c r="G512" s="8" t="str">
        <ns0:v>/rocket-lab/parts/preburner</ns0:v>
      </ns0:c>
      <ns0:c r="H512" s="8" t="str">
        <ns0:v>src/data/rocketParts/index.ts</ns0:v>
      </ns0:c>
      <ns0:c r="I512" s="8" t="str"/>
    </ns0:row>
    <ns0:row r="513" ht="82" customHeight="1">
      <ns0:c r="A513" s="8" t="n">
        <ns0:v>507</ns0:v>
      </ns0:c>
      <ns0:c r="B513" s="8" t="str">
        <ns0:v>Regeneratively Cooled Chamber</ns0:v>
      </ns0:c>
      <ns0:c r="C513" s="8" t="str">
        <ns0:v>Propulsion System / Propulsion</ns0:v>
      </ns0:c>
      <ns0:c r="D513" s="8" t="str">
        <ns0:v>Rocket component</ns0:v>
      </ns0:c>
      <ns0:c r="E513" s="8" t="str">
        <ns0:v>Circulates propellant through cooling channels before injection to protect the chamber and recover heat.</ns0:v>
      </ns0:c>
      <ns0:c r="F513" s="9" t="str">
        <ns0:f>HYPERLINK("https://physics.aimersociety.com/rocket-lab/parts/regeneratively-cooled-chamber","https://physics.aimersociety.com/rocket-lab/parts/regeneratively-cooled-chamber")</ns0:f>
        <ns0:v>https://physics.aimersociety.com/rocket-lab/parts/regeneratively-cooled-chamber</ns0:v>
      </ns0:c>
      <ns0:c r="G513" s="8" t="str">
        <ns0:v>/rocket-lab/parts/regeneratively-cooled-chamber</ns0:v>
      </ns0:c>
      <ns0:c r="H513" s="8" t="str">
        <ns0:v>src/data/rocketParts/index.ts</ns0:v>
      </ns0:c>
      <ns0:c r="I513" s="8" t="str"/>
    </ns0:row>
    <ns0:row r="514" ht="82" customHeight="1">
      <ns0:c r="A514" s="8" t="n">
        <ns0:v>508</ns0:v>
      </ns0:c>
      <ns0:c r="B514" s="8" t="str">
        <ns0:v>Rocket Engine</ns0:v>
      </ns0:c>
      <ns0:c r="C514" s="8" t="str">
        <ns0:v>Propulsion System / Propulsion</ns0:v>
      </ns0:c>
      <ns0:c r="D514" s="8" t="str">
        <ns0:v>Rocket component</ns0:v>
      </ns0:c>
      <ns0:c r="E514" s="8" t="str">
        <ns0:v>Produces thrust by accelerating exhaust mass at high velocity.</ns0:v>
      </ns0:c>
      <ns0:c r="F514" s="9" t="str">
        <ns0:f>HYPERLINK("https://physics.aimersociety.com/rocket-lab/parts/rocket-engine","https://physics.aimersociety.com/rocket-lab/parts/rocket-engine")</ns0:f>
        <ns0:v>https://physics.aimersociety.com/rocket-lab/parts/rocket-engine</ns0:v>
      </ns0:c>
      <ns0:c r="G514" s="8" t="str">
        <ns0:v>/rocket-lab/parts/rocket-engine</ns0:v>
      </ns0:c>
      <ns0:c r="H514" s="8" t="str">
        <ns0:v>src/data/rocketParts/index.ts</ns0:v>
      </ns0:c>
      <ns0:c r="I514" s="8" t="str"/>
    </ns0:row>
    <ns0:row r="515" ht="82" customHeight="1">
      <ns0:c r="A515" s="8" t="n">
        <ns0:v>509</ns0:v>
      </ns0:c>
      <ns0:c r="B515" s="8" t="str">
        <ns0:v>Solid Motor Igniter</ns0:v>
      </ns0:c>
      <ns0:c r="C515" s="8" t="str">
        <ns0:v>Propulsion System / Propulsion</ns0:v>
      </ns0:c>
      <ns0:c r="D515" s="8" t="str">
        <ns0:v>Rocket component</ns0:v>
      </ns0:c>
      <ns0:c r="E515" s="8" t="str">
        <ns0:v>Initiates combustion across the required propellant surface.</ns0:v>
      </ns0:c>
      <ns0:c r="F515" s="9" t="str">
        <ns0:f>HYPERLINK("https://physics.aimersociety.com/rocket-lab/parts/solid-motor-igniter","https://physics.aimersociety.com/rocket-lab/parts/solid-motor-igniter")</ns0:f>
        <ns0:v>https://physics.aimersociety.com/rocket-lab/parts/solid-motor-igniter</ns0:v>
      </ns0:c>
      <ns0:c r="G515" s="8" t="str">
        <ns0:v>/rocket-lab/parts/solid-motor-igniter</ns0:v>
      </ns0:c>
      <ns0:c r="H515" s="8" t="str">
        <ns0:v>src/data/rocketParts/index.ts</ns0:v>
      </ns0:c>
      <ns0:c r="I515" s="8" t="str"/>
    </ns0:row>
    <ns0:row r="516" ht="82" customHeight="1">
      <ns0:c r="A516" s="8" t="n">
        <ns0:v>510</ns0:v>
      </ns0:c>
      <ns0:c r="B516" s="8" t="str">
        <ns0:v>Solid Motor Insulation</ns0:v>
      </ns0:c>
      <ns0:c r="C516" s="8" t="str">
        <ns0:v>Propulsion System / Propulsion</ns0:v>
      </ns0:c>
      <ns0:c r="D516" s="8" t="str">
        <ns0:v>Rocket component</ns0:v>
      </ns0:c>
      <ns0:c r="E516" s="8" t="str">
        <ns0:v>Protects the motor case from hot combustion gases.</ns0:v>
      </ns0:c>
      <ns0:c r="F516" s="9" t="str">
        <ns0:f>HYPERLINK("https://physics.aimersociety.com/rocket-lab/parts/solid-motor-insulation","https://physics.aimersociety.com/rocket-lab/parts/solid-motor-insulation")</ns0:f>
        <ns0:v>https://physics.aimersociety.com/rocket-lab/parts/solid-motor-insulation</ns0:v>
      </ns0:c>
      <ns0:c r="G516" s="8" t="str">
        <ns0:v>/rocket-lab/parts/solid-motor-insulation</ns0:v>
      </ns0:c>
      <ns0:c r="H516" s="8" t="str">
        <ns0:v>src/data/rocketParts/index.ts</ns0:v>
      </ns0:c>
      <ns0:c r="I516" s="8" t="str"/>
    </ns0:row>
    <ns0:row r="517" ht="82" customHeight="1">
      <ns0:c r="A517" s="8" t="n">
        <ns0:v>511</ns0:v>
      </ns0:c>
      <ns0:c r="B517" s="8" t="str">
        <ns0:v>Solid Motor Nozzle</ns0:v>
      </ns0:c>
      <ns0:c r="C517" s="8" t="str">
        <ns0:v>Propulsion System / Propulsion</ns0:v>
      </ns0:c>
      <ns0:c r="D517" s="8" t="str">
        <ns0:v>Rocket component</ns0:v>
      </ns0:c>
      <ns0:c r="E517" s="8" t="str">
        <ns0:v>Expands and accelerates combustion gases from the motor.</ns0:v>
      </ns0:c>
      <ns0:c r="F517" s="9" t="str">
        <ns0:f>HYPERLINK("https://physics.aimersociety.com/rocket-lab/parts/solid-motor-nozzle","https://physics.aimersociety.com/rocket-lab/parts/solid-motor-nozzle")</ns0:f>
        <ns0:v>https://physics.aimersociety.com/rocket-lab/parts/solid-motor-nozzle</ns0:v>
      </ns0:c>
      <ns0:c r="G517" s="8" t="str">
        <ns0:v>/rocket-lab/parts/solid-motor-nozzle</ns0:v>
      </ns0:c>
      <ns0:c r="H517" s="8" t="str">
        <ns0:v>src/data/rocketParts/index.ts</ns0:v>
      </ns0:c>
      <ns0:c r="I517" s="8" t="str"/>
    </ns0:row>
    <ns0:row r="518" ht="82" customHeight="1">
      <ns0:c r="A518" s="8" t="n">
        <ns0:v>512</ns0:v>
      </ns0:c>
      <ns0:c r="B518" s="8" t="str">
        <ns0:v>Solid Propellant Grain</ns0:v>
      </ns0:c>
      <ns0:c r="C518" s="8" t="str">
        <ns0:v>Propulsion System / Propulsion</ns0:v>
      </ns0:c>
      <ns0:c r="D518" s="8" t="str">
        <ns0:v>Rocket component</ns0:v>
      </ns0:c>
      <ns0:c r="E518" s="8" t="str">
        <ns0:v>Provides the fuel and oxidizer mixture in a shaped solid charge.</ns0:v>
      </ns0:c>
      <ns0:c r="F518" s="9" t="str">
        <ns0:f>HYPERLINK("https://physics.aimersociety.com/rocket-lab/parts/solid-propellant-grain","https://physics.aimersociety.com/rocket-lab/parts/solid-propellant-grain")</ns0:f>
        <ns0:v>https://physics.aimersociety.com/rocket-lab/parts/solid-propellant-grain</ns0:v>
      </ns0:c>
      <ns0:c r="G518" s="8" t="str">
        <ns0:v>/rocket-lab/parts/solid-propellant-grain</ns0:v>
      </ns0:c>
      <ns0:c r="H518" s="8" t="str">
        <ns0:v>src/data/rocketParts/index.ts</ns0:v>
      </ns0:c>
      <ns0:c r="I518" s="8" t="str"/>
    </ns0:row>
    <ns0:row r="519" ht="82" customHeight="1">
      <ns0:c r="A519" s="8" t="n">
        <ns0:v>513</ns0:v>
      </ns0:c>
      <ns0:c r="B519" s="8" t="str">
        <ns0:v>Solid Rocket Motor Case</ns0:v>
      </ns0:c>
      <ns0:c r="C519" s="8" t="str">
        <ns0:v>Propulsion System / Propulsion</ns0:v>
      </ns0:c>
      <ns0:c r="D519" s="8" t="str">
        <ns0:v>Rocket component</ns0:v>
      </ns0:c>
      <ns0:c r="E519" s="8" t="str">
        <ns0:v>Contains the solid propellant and combustion pressure.</ns0:v>
      </ns0:c>
      <ns0:c r="F519" s="9" t="str">
        <ns0:f>HYPERLINK("https://physics.aimersociety.com/rocket-lab/parts/solid-rocket-motor-case","https://physics.aimersociety.com/rocket-lab/parts/solid-rocket-motor-case")</ns0:f>
        <ns0:v>https://physics.aimersociety.com/rocket-lab/parts/solid-rocket-motor-case</ns0:v>
      </ns0:c>
      <ns0:c r="G519" s="8" t="str">
        <ns0:v>/rocket-lab/parts/solid-rocket-motor-case</ns0:v>
      </ns0:c>
      <ns0:c r="H519" s="8" t="str">
        <ns0:v>src/data/rocketParts/index.ts</ns0:v>
      </ns0:c>
      <ns0:c r="I519" s="8" t="str"/>
    </ns0:row>
    <ns0:row r="520" ht="82" customHeight="1">
      <ns0:c r="A520" s="8" t="n">
        <ns0:v>514</ns0:v>
      </ns0:c>
      <ns0:c r="B520" s="8" t="str">
        <ns0:v>Thrust Vector Control Actuator</ns0:v>
      </ns0:c>
      <ns0:c r="C520" s="8" t="str">
        <ns0:v>Propulsion System / Propulsion</ns0:v>
      </ns0:c>
      <ns0:c r="D520" s="8" t="str">
        <ns0:v>Rocket component</ns0:v>
      </ns0:c>
      <ns0:c r="E520" s="8" t="str">
        <ns0:v>Moves the gimballed engine or nozzle in response to guidance commands.</ns0:v>
      </ns0:c>
      <ns0:c r="F520" s="9" t="str">
        <ns0:f>HYPERLINK("https://physics.aimersociety.com/rocket-lab/parts/thrust-vector-control-actuator","https://physics.aimersociety.com/rocket-lab/parts/thrust-vector-control-actuator")</ns0:f>
        <ns0:v>https://physics.aimersociety.com/rocket-lab/parts/thrust-vector-control-actuator</ns0:v>
      </ns0:c>
      <ns0:c r="G520" s="8" t="str">
        <ns0:v>/rocket-lab/parts/thrust-vector-control-actuator</ns0:v>
      </ns0:c>
      <ns0:c r="H520" s="8" t="str">
        <ns0:v>src/data/rocketParts/index.ts</ns0:v>
      </ns0:c>
      <ns0:c r="I520" s="8" t="str"/>
    </ns0:row>
    <ns0:row r="521" ht="82" customHeight="1">
      <ns0:c r="A521" s="8" t="n">
        <ns0:v>515</ns0:v>
      </ns0:c>
      <ns0:c r="B521" s="8" t="str">
        <ns0:v>Turbine</ns0:v>
      </ns0:c>
      <ns0:c r="C521" s="8" t="str">
        <ns0:v>Propulsion System / Propulsion</ns0:v>
      </ns0:c>
      <ns0:c r="D521" s="8" t="str">
        <ns0:v>Rocket component</ns0:v>
      </ns0:c>
      <ns0:c r="E521" s="8" t="str">
        <ns0:v>Converts working-fluid energy into mechanical power for the pumps.</ns0:v>
      </ns0:c>
      <ns0:c r="F521" s="9" t="str">
        <ns0:f>HYPERLINK("https://physics.aimersociety.com/rocket-lab/parts/turbine","https://physics.aimersociety.com/rocket-lab/parts/turbine")</ns0:f>
        <ns0:v>https://physics.aimersociety.com/rocket-lab/parts/turbine</ns0:v>
      </ns0:c>
      <ns0:c r="G521" s="8" t="str">
        <ns0:v>/rocket-lab/parts/turbine</ns0:v>
      </ns0:c>
      <ns0:c r="H521" s="8" t="str">
        <ns0:v>src/data/rocketParts/index.ts</ns0:v>
      </ns0:c>
      <ns0:c r="I521" s="8" t="str"/>
    </ns0:row>
    <ns0:row r="522" ht="82" customHeight="1">
      <ns0:c r="A522" s="8" t="n">
        <ns0:v>516</ns0:v>
      </ns0:c>
      <ns0:c r="B522" s="8" t="str">
        <ns0:v>Turbopump</ns0:v>
      </ns0:c>
      <ns0:c r="C522" s="8" t="str">
        <ns0:v>Propulsion System / Propulsion</ns0:v>
      </ns0:c>
      <ns0:c r="D522" s="8" t="str">
        <ns0:v>Rocket component</ns0:v>
      </ns0:c>
      <ns0:c r="E522" s="8" t="str">
        <ns0:v>Raises propellant pressure and supplies high mass flow to the combustion chamber.</ns0:v>
      </ns0:c>
      <ns0:c r="F522" s="9" t="str">
        <ns0:f>HYPERLINK("https://physics.aimersociety.com/rocket-lab/parts/turbopump","https://physics.aimersociety.com/rocket-lab/parts/turbopump")</ns0:f>
        <ns0:v>https://physics.aimersociety.com/rocket-lab/parts/turbopump</ns0:v>
      </ns0:c>
      <ns0:c r="G522" s="8" t="str">
        <ns0:v>/rocket-lab/parts/turbopump</ns0:v>
      </ns0:c>
      <ns0:c r="H522" s="8" t="str">
        <ns0:v>src/data/rocketParts/index.ts</ns0:v>
      </ns0:c>
      <ns0:c r="I522" s="8" t="str"/>
    </ns0:row>
    <ns0:row r="523" ht="82" customHeight="1">
      <ns0:c r="A523" s="8" t="n">
        <ns0:v>517</ns0:v>
      </ns0:c>
      <ns0:c r="B523" s="8" t="str">
        <ns0:v>Turbopump Shaft</ns0:v>
      </ns0:c>
      <ns0:c r="C523" s="8" t="str">
        <ns0:v>Propulsion System / Propulsion</ns0:v>
      </ns0:c>
      <ns0:c r="D523" s="8" t="str">
        <ns0:v>Rocket component</ns0:v>
      </ns0:c>
      <ns0:c r="E523" s="8" t="str">
        <ns0:v>Transfers turbine rotation to the propellant pumps.</ns0:v>
      </ns0:c>
      <ns0:c r="F523" s="9" t="str">
        <ns0:f>HYPERLINK("https://physics.aimersociety.com/rocket-lab/parts/turbopump-shaft","https://physics.aimersociety.com/rocket-lab/parts/turbopump-shaft")</ns0:f>
        <ns0:v>https://physics.aimersociety.com/rocket-lab/parts/turbopump-shaft</ns0:v>
      </ns0:c>
      <ns0:c r="G523" s="8" t="str">
        <ns0:v>/rocket-lab/parts/turbopump-shaft</ns0:v>
      </ns0:c>
      <ns0:c r="H523" s="8" t="str">
        <ns0:v>src/data/rocketParts/index.ts</ns0:v>
      </ns0:c>
      <ns0:c r="I523" s="8" t="str"/>
    </ns0:row>
    <ns0:row r="524" ht="82" customHeight="1">
      <ns0:c r="A524" s="8" t="n">
        <ns0:v>518</ns0:v>
      </ns0:c>
      <ns0:c r="B524" s="8" t="str">
        <ns0:v>Crushable Landing Structure</ns0:v>
      </ns0:c>
      <ns0:c r="C524" s="8" t="str">
        <ns0:v>Recovery System / Recovery</ns0:v>
      </ns0:c>
      <ns0:c r="D524" s="8" t="str">
        <ns0:v>Rocket component</ns0:v>
      </ns0:c>
      <ns0:c r="E524" s="8" t="str">
        <ns0:v>Absorbs impact energy during landing.</ns0:v>
      </ns0:c>
      <ns0:c r="F524" s="9" t="str">
        <ns0:f>HYPERLINK("https://physics.aimersociety.com/rocket-lab/parts/crushable-landing-structure","https://physics.aimersociety.com/rocket-lab/parts/crushable-landing-structure")</ns0:f>
        <ns0:v>https://physics.aimersociety.com/rocket-lab/parts/crushable-landing-structure</ns0:v>
      </ns0:c>
      <ns0:c r="G524" s="8" t="str">
        <ns0:v>/rocket-lab/parts/crushable-landing-structure</ns0:v>
      </ns0:c>
      <ns0:c r="H524" s="8" t="str">
        <ns0:v>src/data/rocketParts/index.ts</ns0:v>
      </ns0:c>
      <ns0:c r="I524" s="8" t="str"/>
    </ns0:row>
    <ns0:row r="525" ht="82" customHeight="1">
      <ns0:c r="A525" s="8" t="n">
        <ns0:v>519</ns0:v>
      </ns0:c>
      <ns0:c r="B525" s="8" t="str">
        <ns0:v>Deployment Bag</ns0:v>
      </ns0:c>
      <ns0:c r="C525" s="8" t="str">
        <ns0:v>Recovery System / Recovery</ns0:v>
      </ns0:c>
      <ns0:c r="D525" s="8" t="str">
        <ns0:v>Rocket component</ns0:v>
      </ns0:c>
      <ns0:c r="E525" s="8" t="str">
        <ns0:v>Controls the order and rate of parachute deployment.</ns0:v>
      </ns0:c>
      <ns0:c r="F525" s="9" t="str">
        <ns0:f>HYPERLINK("https://physics.aimersociety.com/rocket-lab/parts/deployment-bag","https://physics.aimersociety.com/rocket-lab/parts/deployment-bag")</ns0:f>
        <ns0:v>https://physics.aimersociety.com/rocket-lab/parts/deployment-bag</ns0:v>
      </ns0:c>
      <ns0:c r="G525" s="8" t="str">
        <ns0:v>/rocket-lab/parts/deployment-bag</ns0:v>
      </ns0:c>
      <ns0:c r="H525" s="8" t="str">
        <ns0:v>src/data/rocketParts/index.ts</ns0:v>
      </ns0:c>
      <ns0:c r="I525" s="8" t="str"/>
    </ns0:row>
    <ns0:row r="526" ht="82" customHeight="1">
      <ns0:c r="A526" s="8" t="n">
        <ns0:v>520</ns0:v>
      </ns0:c>
      <ns0:c r="B526" s="8" t="str">
        <ns0:v>Drogue Parachute</ns0:v>
      </ns0:c>
      <ns0:c r="C526" s="8" t="str">
        <ns0:v>Recovery System / Recovery</ns0:v>
      </ns0:c>
      <ns0:c r="D526" s="8" t="str">
        <ns0:v>Rocket component</ns0:v>
      </ns0:c>
      <ns0:c r="E526" s="8" t="str">
        <ns0:v>Stabilizes and slows the descending vehicle before main-parachute deployment.</ns0:v>
      </ns0:c>
      <ns0:c r="F526" s="9" t="str">
        <ns0:f>HYPERLINK("https://physics.aimersociety.com/rocket-lab/parts/drogue-parachute","https://physics.aimersociety.com/rocket-lab/parts/drogue-parachute")</ns0:f>
        <ns0:v>https://physics.aimersociety.com/rocket-lab/parts/drogue-parachute</ns0:v>
      </ns0:c>
      <ns0:c r="G526" s="8" t="str">
        <ns0:v>/rocket-lab/parts/drogue-parachute</ns0:v>
      </ns0:c>
      <ns0:c r="H526" s="8" t="str">
        <ns0:v>src/data/rocketParts/index.ts</ns0:v>
      </ns0:c>
      <ns0:c r="I526" s="8" t="str"/>
    </ns0:row>
    <ns0:row r="527" ht="82" customHeight="1">
      <ns0:c r="A527" s="8" t="n">
        <ns0:v>521</ns0:v>
      </ns0:c>
      <ns0:c r="B527" s="8" t="str">
        <ns0:v>Flotation Device</ns0:v>
      </ns0:c>
      <ns0:c r="C527" s="8" t="str">
        <ns0:v>Recovery System / Recovery</ns0:v>
      </ns0:c>
      <ns0:c r="D527" s="8" t="str">
        <ns0:v>Rocket component</ns0:v>
      </ns0:c>
      <ns0:c r="E527" s="8" t="str">
        <ns0:v>Keeps recovered hardware afloat.</ns0:v>
      </ns0:c>
      <ns0:c r="F527" s="9" t="str">
        <ns0:f>HYPERLINK("https://physics.aimersociety.com/rocket-lab/parts/flotation-device","https://physics.aimersociety.com/rocket-lab/parts/flotation-device")</ns0:f>
        <ns0:v>https://physics.aimersociety.com/rocket-lab/parts/flotation-device</ns0:v>
      </ns0:c>
      <ns0:c r="G527" s="8" t="str">
        <ns0:v>/rocket-lab/parts/flotation-device</ns0:v>
      </ns0:c>
      <ns0:c r="H527" s="8" t="str">
        <ns0:v>src/data/rocketParts/index.ts</ns0:v>
      </ns0:c>
      <ns0:c r="I527" s="8" t="str"/>
    </ns0:row>
    <ns0:row r="528" ht="82" customHeight="1">
      <ns0:c r="A528" s="8" t="n">
        <ns0:v>522</ns0:v>
      </ns0:c>
      <ns0:c r="B528" s="8" t="str">
        <ns0:v>Landing Leg</ns0:v>
      </ns0:c>
      <ns0:c r="C528" s="8" t="str">
        <ns0:v>Recovery System / Recovery</ns0:v>
      </ns0:c>
      <ns0:c r="D528" s="8" t="str">
        <ns0:v>Rocket component</ns0:v>
      </ns0:c>
      <ns0:c r="E528" s="8" t="str">
        <ns0:v>Supports the vehicle during vertical landing.</ns0:v>
      </ns0:c>
      <ns0:c r="F528" s="9" t="str">
        <ns0:f>HYPERLINK("https://physics.aimersociety.com/rocket-lab/parts/landing-leg","https://physics.aimersociety.com/rocket-lab/parts/landing-leg")</ns0:f>
        <ns0:v>https://physics.aimersociety.com/rocket-lab/parts/landing-leg</ns0:v>
      </ns0:c>
      <ns0:c r="G528" s="8" t="str">
        <ns0:v>/rocket-lab/parts/landing-leg</ns0:v>
      </ns0:c>
      <ns0:c r="H528" s="8" t="str">
        <ns0:v>src/data/rocketParts/index.ts</ns0:v>
      </ns0:c>
      <ns0:c r="I528" s="8" t="str"/>
    </ns0:row>
    <ns0:row r="529" ht="82" customHeight="1">
      <ns0:c r="A529" s="8" t="n">
        <ns0:v>523</ns0:v>
      </ns0:c>
      <ns0:c r="B529" s="8" t="str">
        <ns0:v>Landing-Leg Actuator</ns0:v>
      </ns0:c>
      <ns0:c r="C529" s="8" t="str">
        <ns0:v>Recovery System / Recovery</ns0:v>
      </ns0:c>
      <ns0:c r="D529" s="8" t="str">
        <ns0:v>Rocket component</ns0:v>
      </ns0:c>
      <ns0:c r="E529" s="8" t="str">
        <ns0:v>Deploys and locks a landing leg.</ns0:v>
      </ns0:c>
      <ns0:c r="F529" s="9" t="str">
        <ns0:f>HYPERLINK("https://physics.aimersociety.com/rocket-lab/parts/landing-leg-actuator","https://physics.aimersociety.com/rocket-lab/parts/landing-leg-actuator")</ns0:f>
        <ns0:v>https://physics.aimersociety.com/rocket-lab/parts/landing-leg-actuator</ns0:v>
      </ns0:c>
      <ns0:c r="G529" s="8" t="str">
        <ns0:v>/rocket-lab/parts/landing-leg-actuator</ns0:v>
      </ns0:c>
      <ns0:c r="H529" s="8" t="str">
        <ns0:v>src/data/rocketParts/index.ts</ns0:v>
      </ns0:c>
      <ns0:c r="I529" s="8" t="str"/>
    </ns0:row>
    <ns0:row r="530" ht="82" customHeight="1">
      <ns0:c r="A530" s="8" t="n">
        <ns0:v>524</ns0:v>
      </ns0:c>
      <ns0:c r="B530" s="8" t="str">
        <ns0:v>Main Parachute</ns0:v>
      </ns0:c>
      <ns0:c r="C530" s="8" t="str">
        <ns0:v>Recovery System / Recovery</ns0:v>
      </ns0:c>
      <ns0:c r="D530" s="8" t="str">
        <ns0:v>Rocket component</ns0:v>
      </ns0:c>
      <ns0:c r="E530" s="8" t="str">
        <ns0:v>Provides the principal reduction in descent velocity.</ns0:v>
      </ns0:c>
      <ns0:c r="F530" s="9" t="str">
        <ns0:f>HYPERLINK("https://physics.aimersociety.com/rocket-lab/parts/main-parachute","https://physics.aimersociety.com/rocket-lab/parts/main-parachute")</ns0:f>
        <ns0:v>https://physics.aimersociety.com/rocket-lab/parts/main-parachute</ns0:v>
      </ns0:c>
      <ns0:c r="G530" s="8" t="str">
        <ns0:v>/rocket-lab/parts/main-parachute</ns0:v>
      </ns0:c>
      <ns0:c r="H530" s="8" t="str">
        <ns0:v>src/data/rocketParts/index.ts</ns0:v>
      </ns0:c>
      <ns0:c r="I530" s="8" t="str"/>
    </ns0:row>
    <ns0:row r="531" ht="82" customHeight="1">
      <ns0:c r="A531" s="8" t="n">
        <ns0:v>525</ns0:v>
      </ns0:c>
      <ns0:c r="B531" s="8" t="str">
        <ns0:v>Parachute Canopy</ns0:v>
      </ns0:c>
      <ns0:c r="C531" s="8" t="str">
        <ns0:v>Recovery System / Recovery</ns0:v>
      </ns0:c>
      <ns0:c r="D531" s="8" t="str">
        <ns0:v>Rocket component</ns0:v>
      </ns0:c>
      <ns0:c r="E531" s="8" t="str">
        <ns0:v>Produces aerodynamic drag during descent.</ns0:v>
      </ns0:c>
      <ns0:c r="F531" s="9" t="str">
        <ns0:f>HYPERLINK("https://physics.aimersociety.com/rocket-lab/parts/parachute-canopy","https://physics.aimersociety.com/rocket-lab/parts/parachute-canopy")</ns0:f>
        <ns0:v>https://physics.aimersociety.com/rocket-lab/parts/parachute-canopy</ns0:v>
      </ns0:c>
      <ns0:c r="G531" s="8" t="str">
        <ns0:v>/rocket-lab/parts/parachute-canopy</ns0:v>
      </ns0:c>
      <ns0:c r="H531" s="8" t="str">
        <ns0:v>src/data/rocketParts/index.ts</ns0:v>
      </ns0:c>
      <ns0:c r="I531" s="8" t="str"/>
    </ns0:row>
    <ns0:row r="532" ht="82" customHeight="1">
      <ns0:c r="A532" s="8" t="n">
        <ns0:v>526</ns0:v>
      </ns0:c>
      <ns0:c r="B532" s="8" t="str">
        <ns0:v>Parachute Compartment</ns0:v>
      </ns0:c>
      <ns0:c r="C532" s="8" t="str">
        <ns0:v>Recovery System / Recovery</ns0:v>
      </ns0:c>
      <ns0:c r="D532" s="8" t="str">
        <ns0:v>Rocket component</ns0:v>
      </ns0:c>
      <ns0:c r="E532" s="8" t="str">
        <ns0:v>Stores and protects the packed recovery system.</ns0:v>
      </ns0:c>
      <ns0:c r="F532" s="9" t="str">
        <ns0:f>HYPERLINK("https://physics.aimersociety.com/rocket-lab/parts/parachute-compartment","https://physics.aimersociety.com/rocket-lab/parts/parachute-compartment")</ns0:f>
        <ns0:v>https://physics.aimersociety.com/rocket-lab/parts/parachute-compartment</ns0:v>
      </ns0:c>
      <ns0:c r="G532" s="8" t="str">
        <ns0:v>/rocket-lab/parts/parachute-compartment</ns0:v>
      </ns0:c>
      <ns0:c r="H532" s="8" t="str">
        <ns0:v>src/data/rocketParts/index.ts</ns0:v>
      </ns0:c>
      <ns0:c r="I532" s="8" t="str"/>
    </ns0:row>
    <ns0:row r="533" ht="82" customHeight="1">
      <ns0:c r="A533" s="8" t="n">
        <ns0:v>527</ns0:v>
      </ns0:c>
      <ns0:c r="B533" s="8" t="str">
        <ns0:v>Parachute Mortar</ns0:v>
      </ns0:c>
      <ns0:c r="C533" s="8" t="str">
        <ns0:v>Recovery System / Recovery</ns0:v>
      </ns0:c>
      <ns0:c r="D533" s="8" t="str">
        <ns0:v>Rocket component</ns0:v>
      </ns0:c>
      <ns0:c r="E533" s="8" t="str">
        <ns0:v>Deploys a parachute package in applicable recovery systems.</ns0:v>
      </ns0:c>
      <ns0:c r="F533" s="9" t="str">
        <ns0:f>HYPERLINK("https://physics.aimersociety.com/rocket-lab/parts/parachute-mortar","https://physics.aimersociety.com/rocket-lab/parts/parachute-mortar")</ns0:f>
        <ns0:v>https://physics.aimersociety.com/rocket-lab/parts/parachute-mortar</ns0:v>
      </ns0:c>
      <ns0:c r="G533" s="8" t="str">
        <ns0:v>/rocket-lab/parts/parachute-mortar</ns0:v>
      </ns0:c>
      <ns0:c r="H533" s="8" t="str">
        <ns0:v>src/data/rocketParts/index.ts</ns0:v>
      </ns0:c>
      <ns0:c r="I533" s="8" t="str"/>
    </ns0:row>
    <ns0:row r="534" ht="82" customHeight="1">
      <ns0:c r="A534" s="8" t="n">
        <ns0:v>528</ns0:v>
      </ns0:c>
      <ns0:c r="B534" s="8" t="str">
        <ns0:v>Pilot Chute</ns0:v>
      </ns0:c>
      <ns0:c r="C534" s="8" t="str">
        <ns0:v>Recovery System / Recovery</ns0:v>
      </ns0:c>
      <ns0:c r="D534" s="8" t="str">
        <ns0:v>Rocket component</ns0:v>
      </ns0:c>
      <ns0:c r="E534" s="8" t="str">
        <ns0:v>Extracts or initiates deployment of a larger parachute.</ns0:v>
      </ns0:c>
      <ns0:c r="F534" s="9" t="str">
        <ns0:f>HYPERLINK("https://physics.aimersociety.com/rocket-lab/parts/pilot-chute","https://physics.aimersociety.com/rocket-lab/parts/pilot-chute")</ns0:f>
        <ns0:v>https://physics.aimersociety.com/rocket-lab/parts/pilot-chute</ns0:v>
      </ns0:c>
      <ns0:c r="G534" s="8" t="str">
        <ns0:v>/rocket-lab/parts/pilot-chute</ns0:v>
      </ns0:c>
      <ns0:c r="H534" s="8" t="str">
        <ns0:v>src/data/rocketParts/index.ts</ns0:v>
      </ns0:c>
      <ns0:c r="I534" s="8" t="str"/>
    </ns0:row>
    <ns0:row r="535" ht="82" customHeight="1">
      <ns0:c r="A535" s="8" t="n">
        <ns0:v>529</ns0:v>
      </ns0:c>
      <ns0:c r="B535" s="8" t="str">
        <ns0:v>Recovery Beacon</ns0:v>
      </ns0:c>
      <ns0:c r="C535" s="8" t="str">
        <ns0:v>Recovery System / Recovery</ns0:v>
      </ns0:c>
      <ns0:c r="D535" s="8" t="str">
        <ns0:v>Rocket component</ns0:v>
      </ns0:c>
      <ns0:c r="E535" s="8" t="str">
        <ns0:v>Helps recovery teams locate returned hardware.</ns0:v>
      </ns0:c>
      <ns0:c r="F535" s="9" t="str">
        <ns0:f>HYPERLINK("https://physics.aimersociety.com/rocket-lab/parts/recovery-beacon","https://physics.aimersociety.com/rocket-lab/parts/recovery-beacon")</ns0:f>
        <ns0:v>https://physics.aimersociety.com/rocket-lab/parts/recovery-beacon</ns0:v>
      </ns0:c>
      <ns0:c r="G535" s="8" t="str">
        <ns0:v>/rocket-lab/parts/recovery-beacon</ns0:v>
      </ns0:c>
      <ns0:c r="H535" s="8" t="str">
        <ns0:v>src/data/rocketParts/index.ts</ns0:v>
      </ns0:c>
      <ns0:c r="I535" s="8" t="str"/>
    </ns0:row>
    <ns0:row r="536" ht="82" customHeight="1">
      <ns0:c r="A536" s="8" t="n">
        <ns0:v>530</ns0:v>
      </ns0:c>
      <ns0:c r="B536" s="8" t="str">
        <ns0:v>Recovery Computer</ns0:v>
      </ns0:c>
      <ns0:c r="C536" s="8" t="str">
        <ns0:v>Recovery System / Recovery</ns0:v>
      </ns0:c>
      <ns0:c r="D536" s="8" t="str">
        <ns0:v>Rocket component</ns0:v>
      </ns0:c>
      <ns0:c r="E536" s="8" t="str">
        <ns0:v>Determines and commands recovery-event timing.</ns0:v>
      </ns0:c>
      <ns0:c r="F536" s="9" t="str">
        <ns0:f>HYPERLINK("https://physics.aimersociety.com/rocket-lab/parts/recovery-computer","https://physics.aimersociety.com/rocket-lab/parts/recovery-computer")</ns0:f>
        <ns0:v>https://physics.aimersociety.com/rocket-lab/parts/recovery-computer</ns0:v>
      </ns0:c>
      <ns0:c r="G536" s="8" t="str">
        <ns0:v>/rocket-lab/parts/recovery-computer</ns0:v>
      </ns0:c>
      <ns0:c r="H536" s="8" t="str">
        <ns0:v>src/data/rocketParts/index.ts</ns0:v>
      </ns0:c>
      <ns0:c r="I536" s="8" t="str"/>
    </ns0:row>
    <ns0:row r="537" ht="82" customHeight="1">
      <ns0:c r="A537" s="8" t="n">
        <ns0:v>531</ns0:v>
      </ns0:c>
      <ns0:c r="B537" s="8" t="str">
        <ns0:v>Recovery GPS Unit</ns0:v>
      </ns0:c>
      <ns0:c r="C537" s="8" t="str">
        <ns0:v>Recovery System / Recovery</ns0:v>
      </ns0:c>
      <ns0:c r="D537" s="8" t="str">
        <ns0:v>Rocket component</ns0:v>
      </ns0:c>
      <ns0:c r="E537" s="8" t="str">
        <ns0:v>Reports the location of recovered hardware.</ns0:v>
      </ns0:c>
      <ns0:c r="F537" s="9" t="str">
        <ns0:f>HYPERLINK("https://physics.aimersociety.com/rocket-lab/parts/recovery-gps-unit","https://physics.aimersociety.com/rocket-lab/parts/recovery-gps-unit")</ns0:f>
        <ns0:v>https://physics.aimersociety.com/rocket-lab/parts/recovery-gps-unit</ns0:v>
      </ns0:c>
      <ns0:c r="G537" s="8" t="str">
        <ns0:v>/rocket-lab/parts/recovery-gps-unit</ns0:v>
      </ns0:c>
      <ns0:c r="H537" s="8" t="str">
        <ns0:v>src/data/rocketParts/index.ts</ns0:v>
      </ns0:c>
      <ns0:c r="I537" s="8" t="str"/>
    </ns0:row>
    <ns0:row r="538" ht="82" customHeight="1">
      <ns0:c r="A538" s="8" t="n">
        <ns0:v>532</ns0:v>
      </ns0:c>
      <ns0:c r="B538" s="8" t="str">
        <ns0:v>Reefing System</ns0:v>
      </ns0:c>
      <ns0:c r="C538" s="8" t="str">
        <ns0:v>Recovery System / Recovery</ns0:v>
      </ns0:c>
      <ns0:c r="D538" s="8" t="str">
        <ns0:v>Rocket component</ns0:v>
      </ns0:c>
      <ns0:c r="E538" s="8" t="str">
        <ns0:v>Temporarily limits parachute opening to reduce deployment loads.</ns0:v>
      </ns0:c>
      <ns0:c r="F538" s="9" t="str">
        <ns0:f>HYPERLINK("https://physics.aimersociety.com/rocket-lab/parts/reefing-system","https://physics.aimersociety.com/rocket-lab/parts/reefing-system")</ns0:f>
        <ns0:v>https://physics.aimersociety.com/rocket-lab/parts/reefing-system</ns0:v>
      </ns0:c>
      <ns0:c r="G538" s="8" t="str">
        <ns0:v>/rocket-lab/parts/reefing-system</ns0:v>
      </ns0:c>
      <ns0:c r="H538" s="8" t="str">
        <ns0:v>src/data/rocketParts/index.ts</ns0:v>
      </ns0:c>
      <ns0:c r="I538" s="8" t="str"/>
    </ns0:row>
    <ns0:row r="539" ht="82" customHeight="1">
      <ns0:c r="A539" s="8" t="n">
        <ns0:v>533</ns0:v>
      </ns0:c>
      <ns0:c r="B539" s="8" t="str">
        <ns0:v>Suspension Lines</ns0:v>
      </ns0:c>
      <ns0:c r="C539" s="8" t="str">
        <ns0:v>Recovery System / Recovery</ns0:v>
      </ns0:c>
      <ns0:c r="D539" s="8" t="str">
        <ns0:v>Rocket component</ns0:v>
      </ns0:c>
      <ns0:c r="E539" s="8" t="str">
        <ns0:v>Transfer parachute loads to the vehicle.</ns0:v>
      </ns0:c>
      <ns0:c r="F539" s="9" t="str">
        <ns0:f>HYPERLINK("https://physics.aimersociety.com/rocket-lab/parts/suspension-lines","https://physics.aimersociety.com/rocket-lab/parts/suspension-lines")</ns0:f>
        <ns0:v>https://physics.aimersociety.com/rocket-lab/parts/suspension-lines</ns0:v>
      </ns0:c>
      <ns0:c r="G539" s="8" t="str">
        <ns0:v>/rocket-lab/parts/suspension-lines</ns0:v>
      </ns0:c>
      <ns0:c r="H539" s="8" t="str">
        <ns0:v>src/data/rocketParts/index.ts</ns0:v>
      </ns0:c>
      <ns0:c r="I539" s="8" t="str"/>
    </ns0:row>
    <ns0:row r="540" ht="82" customHeight="1">
      <ns0:c r="A540" s="8" t="n">
        <ns0:v>534</ns0:v>
      </ns0:c>
      <ns0:c r="B540" s="8" t="str">
        <ns0:v>Clamp Band</ns0:v>
      </ns0:c>
      <ns0:c r="C540" s="8" t="str">
        <ns0:v>Stage Separation / Stage Separation</ns0:v>
      </ns0:c>
      <ns0:c r="D540" s="8" t="str">
        <ns0:v>Rocket component</ns0:v>
      </ns0:c>
      <ns0:c r="E540" s="8" t="str">
        <ns0:v>Secures a payload or stage interface until release.</ns0:v>
      </ns0:c>
      <ns0:c r="F540" s="9" t="str">
        <ns0:f>HYPERLINK("https://physics.aimersociety.com/rocket-lab/parts/clamp-band","https://physics.aimersociety.com/rocket-lab/parts/clamp-band")</ns0:f>
        <ns0:v>https://physics.aimersociety.com/rocket-lab/parts/clamp-band</ns0:v>
      </ns0:c>
      <ns0:c r="G540" s="8" t="str">
        <ns0:v>/rocket-lab/parts/clamp-band</ns0:v>
      </ns0:c>
      <ns0:c r="H540" s="8" t="str">
        <ns0:v>src/data/rocketParts/index.ts</ns0:v>
      </ns0:c>
      <ns0:c r="I540" s="8" t="str"/>
    </ns0:row>
    <ns0:row r="541" ht="82" customHeight="1">
      <ns0:c r="A541" s="8" t="n">
        <ns0:v>535</ns0:v>
      </ns0:c>
      <ns0:c r="B541" s="8" t="str">
        <ns0:v>Deployment Switch</ns0:v>
      </ns0:c>
      <ns0:c r="C541" s="8" t="str">
        <ns0:v>Stage Separation / Stage Separation</ns0:v>
      </ns0:c>
      <ns0:c r="D541" s="8" t="str">
        <ns0:v>Rocket component</ns0:v>
      </ns0:c>
      <ns0:c r="E541" s="8" t="str">
        <ns0:v>Confirms movement or release of a deployable component.</ns0:v>
      </ns0:c>
      <ns0:c r="F541" s="9" t="str">
        <ns0:f>HYPERLINK("https://physics.aimersociety.com/rocket-lab/parts/deployment-switch","https://physics.aimersociety.com/rocket-lab/parts/deployment-switch")</ns0:f>
        <ns0:v>https://physics.aimersociety.com/rocket-lab/parts/deployment-switch</ns0:v>
      </ns0:c>
      <ns0:c r="G541" s="8" t="str">
        <ns0:v>/rocket-lab/parts/deployment-switch</ns0:v>
      </ns0:c>
      <ns0:c r="H541" s="8" t="str">
        <ns0:v>src/data/rocketParts/index.ts</ns0:v>
      </ns0:c>
      <ns0:c r="I541" s="8" t="str"/>
    </ns0:row>
    <ns0:row r="542" ht="82" customHeight="1">
      <ns0:c r="A542" s="8" t="n">
        <ns0:v>536</ns0:v>
      </ns0:c>
      <ns0:c r="B542" s="8" t="str">
        <ns0:v>Frangible Joint</ns0:v>
      </ns0:c>
      <ns0:c r="C542" s="8" t="str">
        <ns0:v>Stage Separation / Stage Separation</ns0:v>
      </ns0:c>
      <ns0:c r="D542" s="8" t="str">
        <ns0:v>Rocket component</ns0:v>
      </ns0:c>
      <ns0:c r="E542" s="8" t="str">
        <ns0:v>Provides a controlled structural separation line.</ns0:v>
      </ns0:c>
      <ns0:c r="F542" s="9" t="str">
        <ns0:f>HYPERLINK("https://physics.aimersociety.com/rocket-lab/parts/frangible-joint","https://physics.aimersociety.com/rocket-lab/parts/frangible-joint")</ns0:f>
        <ns0:v>https://physics.aimersociety.com/rocket-lab/parts/frangible-joint</ns0:v>
      </ns0:c>
      <ns0:c r="G542" s="8" t="str">
        <ns0:v>/rocket-lab/parts/frangible-joint</ns0:v>
      </ns0:c>
      <ns0:c r="H542" s="8" t="str">
        <ns0:v>src/data/rocketParts/index.ts</ns0:v>
      </ns0:c>
      <ns0:c r="I542" s="8" t="str"/>
    </ns0:row>
    <ns0:row r="543" ht="82" customHeight="1">
      <ns0:c r="A543" s="8" t="n">
        <ns0:v>537</ns0:v>
      </ns0:c>
      <ns0:c r="B543" s="8" t="str">
        <ns0:v>Interstage Vent</ns0:v>
      </ns0:c>
      <ns0:c r="C543" s="8" t="str">
        <ns0:v>Stage Separation / Stage Separation</ns0:v>
      </ns0:c>
      <ns0:c r="D543" s="8" t="str">
        <ns0:v>Rocket component</ns0:v>
      </ns0:c>
      <ns0:c r="E543" s="8" t="str">
        <ns0:v>Prevents damaging pressure accumulation inside an interstage.</ns0:v>
      </ns0:c>
      <ns0:c r="F543" s="9" t="str">
        <ns0:f>HYPERLINK("https://physics.aimersociety.com/rocket-lab/parts/interstage-vent","https://physics.aimersociety.com/rocket-lab/parts/interstage-vent")</ns0:f>
        <ns0:v>https://physics.aimersociety.com/rocket-lab/parts/interstage-vent</ns0:v>
      </ns0:c>
      <ns0:c r="G543" s="8" t="str">
        <ns0:v>/rocket-lab/parts/interstage-vent</ns0:v>
      </ns0:c>
      <ns0:c r="H543" s="8" t="str">
        <ns0:v>src/data/rocketParts/index.ts</ns0:v>
      </ns0:c>
      <ns0:c r="I543" s="8" t="str"/>
    </ns0:row>
    <ns0:row r="544" ht="82" customHeight="1">
      <ns0:c r="A544" s="8" t="n">
        <ns0:v>538</ns0:v>
      </ns0:c>
      <ns0:c r="B544" s="8" t="str">
        <ns0:v>Pneumatic Separation System</ns0:v>
      </ns0:c>
      <ns0:c r="C544" s="8" t="str">
        <ns0:v>Stage Separation / Stage Separation</ns0:v>
      </ns0:c>
      <ns0:c r="D544" s="8" t="str">
        <ns0:v>Rocket component</ns0:v>
      </ns0:c>
      <ns0:c r="E544" s="8" t="str">
        <ns0:v>Uses stored gas pressure to release or push vehicle elements apart.</ns0:v>
      </ns0:c>
      <ns0:c r="F544" s="9" t="str">
        <ns0:f>HYPERLINK("https://physics.aimersociety.com/rocket-lab/parts/pneumatic-separation-system","https://physics.aimersociety.com/rocket-lab/parts/pneumatic-separation-system")</ns0:f>
        <ns0:v>https://physics.aimersociety.com/rocket-lab/parts/pneumatic-separation-system</ns0:v>
      </ns0:c>
      <ns0:c r="G544" s="8" t="str">
        <ns0:v>/rocket-lab/parts/pneumatic-separation-system</ns0:v>
      </ns0:c>
      <ns0:c r="H544" s="8" t="str">
        <ns0:v>src/data/rocketParts/index.ts</ns0:v>
      </ns0:c>
      <ns0:c r="I544" s="8" t="str"/>
    </ns0:row>
    <ns0:row r="545" ht="82" customHeight="1">
      <ns0:c r="A545" s="8" t="n">
        <ns0:v>539</ns0:v>
      </ns0:c>
      <ns0:c r="B545" s="8" t="str">
        <ns0:v>Pyrotechnic Initiator</ns0:v>
      </ns0:c>
      <ns0:c r="C545" s="8" t="str">
        <ns0:v>Stage Separation / Stage Separation</ns0:v>
      </ns0:c>
      <ns0:c r="D545" s="8" t="str">
        <ns0:v>Rocket component</ns0:v>
      </ns0:c>
      <ns0:c r="E545" s="8" t="str">
        <ns0:v>Triggers an approved separation or deployment device.</ns0:v>
      </ns0:c>
      <ns0:c r="F545" s="9" t="str">
        <ns0:f>HYPERLINK("https://physics.aimersociety.com/rocket-lab/parts/pyrotechnic-initiator","https://physics.aimersociety.com/rocket-lab/parts/pyrotechnic-initiator")</ns0:f>
        <ns0:v>https://physics.aimersociety.com/rocket-lab/parts/pyrotechnic-initiator</ns0:v>
      </ns0:c>
      <ns0:c r="G545" s="8" t="str">
        <ns0:v>/rocket-lab/parts/pyrotechnic-initiator</ns0:v>
      </ns0:c>
      <ns0:c r="H545" s="8" t="str">
        <ns0:v>src/data/rocketParts/index.ts</ns0:v>
      </ns0:c>
      <ns0:c r="I545" s="8" t="str"/>
    </ns0:row>
    <ns0:row r="546" ht="82" customHeight="1">
      <ns0:c r="A546" s="8" t="n">
        <ns0:v>540</ns0:v>
      </ns0:c>
      <ns0:c r="B546" s="8" t="str">
        <ns0:v>Retro Motor</ns0:v>
      </ns0:c>
      <ns0:c r="C546" s="8" t="str">
        <ns0:v>Stage Separation / Stage Separation</ns0:v>
      </ns0:c>
      <ns0:c r="D546" s="8" t="str">
        <ns0:v>Rocket component</ns0:v>
      </ns0:c>
      <ns0:c r="E546" s="8" t="str">
        <ns0:v>Produces thrust that helps move a spent stage away.</ns0:v>
      </ns0:c>
      <ns0:c r="F546" s="9" t="str">
        <ns0:f>HYPERLINK("https://physics.aimersociety.com/rocket-lab/parts/retro-motor","https://physics.aimersociety.com/rocket-lab/parts/retro-motor")</ns0:f>
        <ns0:v>https://physics.aimersociety.com/rocket-lab/parts/retro-motor</ns0:v>
      </ns0:c>
      <ns0:c r="G546" s="8" t="str">
        <ns0:v>/rocket-lab/parts/retro-motor</ns0:v>
      </ns0:c>
      <ns0:c r="H546" s="8" t="str">
        <ns0:v>src/data/rocketParts/index.ts</ns0:v>
      </ns0:c>
      <ns0:c r="I546" s="8" t="str"/>
    </ns0:row>
    <ns0:row r="547" ht="82" customHeight="1">
      <ns0:c r="A547" s="8" t="n">
        <ns0:v>541</ns0:v>
      </ns0:c>
      <ns0:c r="B547" s="8" t="str">
        <ns0:v>Separation Bolt</ns0:v>
      </ns0:c>
      <ns0:c r="C547" s="8" t="str">
        <ns0:v>Stage Separation / Stage Separation</ns0:v>
      </ns0:c>
      <ns0:c r="D547" s="8" t="str">
        <ns0:v>Rocket component</ns0:v>
      </ns0:c>
      <ns0:c r="E547" s="8" t="str">
        <ns0:v>Holds structures together until a commanded release.</ns0:v>
      </ns0:c>
      <ns0:c r="F547" s="9" t="str">
        <ns0:f>HYPERLINK("https://physics.aimersociety.com/rocket-lab/parts/separation-bolt","https://physics.aimersociety.com/rocket-lab/parts/separation-bolt")</ns0:f>
        <ns0:v>https://physics.aimersociety.com/rocket-lab/parts/separation-bolt</ns0:v>
      </ns0:c>
      <ns0:c r="G547" s="8" t="str">
        <ns0:v>/rocket-lab/parts/separation-bolt</ns0:v>
      </ns0:c>
      <ns0:c r="H547" s="8" t="str">
        <ns0:v>src/data/rocketParts/index.ts</ns0:v>
      </ns0:c>
      <ns0:c r="I547" s="8" t="str"/>
    </ns0:row>
    <ns0:row r="548" ht="82" customHeight="1">
      <ns0:c r="A548" s="8" t="n">
        <ns0:v>542</ns0:v>
      </ns0:c>
      <ns0:c r="B548" s="8" t="str">
        <ns0:v>Separation Motor</ns0:v>
      </ns0:c>
      <ns0:c r="C548" s="8" t="str">
        <ns0:v>Stage Separation / Stage Separation</ns0:v>
      </ns0:c>
      <ns0:c r="D548" s="8" t="str">
        <ns0:v>Rocket component</ns0:v>
      </ns0:c>
      <ns0:c r="E548" s="8" t="str">
        <ns0:v>Produces a short impulse to move stages apart.</ns0:v>
      </ns0:c>
      <ns0:c r="F548" s="9" t="str">
        <ns0:f>HYPERLINK("https://physics.aimersociety.com/rocket-lab/parts/separation-motor","https://physics.aimersociety.com/rocket-lab/parts/separation-motor")</ns0:f>
        <ns0:v>https://physics.aimersociety.com/rocket-lab/parts/separation-motor</ns0:v>
      </ns0:c>
      <ns0:c r="G548" s="8" t="str">
        <ns0:v>/rocket-lab/parts/separation-motor</ns0:v>
      </ns0:c>
      <ns0:c r="H548" s="8" t="str">
        <ns0:v>src/data/rocketParts/index.ts</ns0:v>
      </ns0:c>
      <ns0:c r="I548" s="8" t="str"/>
    </ns0:row>
    <ns0:row r="549" ht="82" customHeight="1">
      <ns0:c r="A549" s="8" t="n">
        <ns0:v>543</ns0:v>
      </ns0:c>
      <ns0:c r="B549" s="8" t="str">
        <ns0:v>Separation Ring</ns0:v>
      </ns0:c>
      <ns0:c r="C549" s="8" t="str">
        <ns0:v>Stage Separation / Stage Separation</ns0:v>
      </ns0:c>
      <ns0:c r="D549" s="8" t="str">
        <ns0:v>Rocket component</ns0:v>
      </ns0:c>
      <ns0:c r="E549" s="8" t="str">
        <ns0:v>Joins two stages and transfers flight loads before separation.</ns0:v>
      </ns0:c>
      <ns0:c r="F549" s="9" t="str">
        <ns0:f>HYPERLINK("https://physics.aimersociety.com/rocket-lab/parts/separation-ring","https://physics.aimersociety.com/rocket-lab/parts/separation-ring")</ns0:f>
        <ns0:v>https://physics.aimersociety.com/rocket-lab/parts/separation-ring</ns0:v>
      </ns0:c>
      <ns0:c r="G549" s="8" t="str">
        <ns0:v>/rocket-lab/parts/separation-ring</ns0:v>
      </ns0:c>
      <ns0:c r="H549" s="8" t="str">
        <ns0:v>src/data/rocketParts/index.ts</ns0:v>
      </ns0:c>
      <ns0:c r="I549" s="8" t="str"/>
    </ns0:row>
    <ns0:row r="550" ht="82" customHeight="1">
      <ns0:c r="A550" s="8" t="n">
        <ns0:v>544</ns0:v>
      </ns0:c>
      <ns0:c r="B550" s="8" t="str">
        <ns0:v>Separation Sensor</ns0:v>
      </ns0:c>
      <ns0:c r="C550" s="8" t="str">
        <ns0:v>Stage Separation / Stage Separation</ns0:v>
      </ns0:c>
      <ns0:c r="D550" s="8" t="str">
        <ns0:v>Rocket component</ns0:v>
      </ns0:c>
      <ns0:c r="E550" s="8" t="str">
        <ns0:v>Confirms that separation has occurred.</ns0:v>
      </ns0:c>
      <ns0:c r="F550" s="9" t="str">
        <ns0:f>HYPERLINK("https://physics.aimersociety.com/rocket-lab/parts/separation-sensor","https://physics.aimersociety.com/rocket-lab/parts/separation-sensor")</ns0:f>
        <ns0:v>https://physics.aimersociety.com/rocket-lab/parts/separation-sensor</ns0:v>
      </ns0:c>
      <ns0:c r="G550" s="8" t="str">
        <ns0:v>/rocket-lab/parts/separation-sensor</ns0:v>
      </ns0:c>
      <ns0:c r="H550" s="8" t="str">
        <ns0:v>src/data/rocketParts/index.ts</ns0:v>
      </ns0:c>
      <ns0:c r="I550" s="8" t="str"/>
    </ns0:row>
    <ns0:row r="551" ht="82" customHeight="1">
      <ns0:c r="A551" s="8" t="n">
        <ns0:v>545</ns0:v>
      </ns0:c>
      <ns0:c r="B551" s="8" t="str">
        <ns0:v>Spring Ejector</ns0:v>
      </ns0:c>
      <ns0:c r="C551" s="8" t="str">
        <ns0:v>Stage Separation / Stage Separation</ns0:v>
      </ns0:c>
      <ns0:c r="D551" s="8" t="str">
        <ns0:v>Rocket component</ns0:v>
      </ns0:c>
      <ns0:c r="E551" s="8" t="str">
        <ns0:v>Provides controlled separation velocity.</ns0:v>
      </ns0:c>
      <ns0:c r="F551" s="9" t="str">
        <ns0:f>HYPERLINK("https://physics.aimersociety.com/rocket-lab/parts/spring-ejector","https://physics.aimersociety.com/rocket-lab/parts/spring-ejector")</ns0:f>
        <ns0:v>https://physics.aimersociety.com/rocket-lab/parts/spring-ejector</ns0:v>
      </ns0:c>
      <ns0:c r="G551" s="8" t="str">
        <ns0:v>/rocket-lab/parts/spring-ejector</ns0:v>
      </ns0:c>
      <ns0:c r="H551" s="8" t="str">
        <ns0:v>src/data/rocketParts/index.ts</ns0:v>
      </ns0:c>
      <ns0:c r="I551" s="8" t="str"/>
    </ns0:row>
    <ns0:row r="552" ht="82" customHeight="1">
      <ns0:c r="A552" s="8" t="n">
        <ns0:v>546</ns0:v>
      </ns0:c>
      <ns0:c r="B552" s="8" t="str">
        <ns0:v>Stage-Separation Plane</ns0:v>
      </ns0:c>
      <ns0:c r="C552" s="8" t="str">
        <ns0:v>Stage Separation / Stage Separation</ns0:v>
      </ns0:c>
      <ns0:c r="D552" s="8" t="str">
        <ns0:v>Rocket component</ns0:v>
      </ns0:c>
      <ns0:c r="E552" s="8" t="str">
        <ns0:v>Defines the structural interface where two vehicle stages separate.</ns0:v>
      </ns0:c>
      <ns0:c r="F552" s="9" t="str">
        <ns0:f>HYPERLINK("https://physics.aimersociety.com/rocket-lab/parts/stage-separation-plane","https://physics.aimersociety.com/rocket-lab/parts/stage-separation-plane")</ns0:f>
        <ns0:v>https://physics.aimersociety.com/rocket-lab/parts/stage-separation-plane</ns0:v>
      </ns0:c>
      <ns0:c r="G552" s="8" t="str">
        <ns0:v>/rocket-lab/parts/stage-separation-plane</ns0:v>
      </ns0:c>
      <ns0:c r="H552" s="8" t="str">
        <ns0:v>src/data/rocketParts/index.ts</ns0:v>
      </ns0:c>
      <ns0:c r="I552" s="8" t="str"/>
    </ns0:row>
    <ns0:row r="553" ht="82" customHeight="1">
      <ns0:c r="A553" s="8" t="n">
        <ns0:v>547</ns0:v>
      </ns0:c>
      <ns0:c r="B553" s="8" t="str">
        <ns0:v>Ullage Motor</ns0:v>
      </ns0:c>
      <ns0:c r="C553" s="8" t="str">
        <ns0:v>Stage Separation / Stage Separation</ns0:v>
      </ns0:c>
      <ns0:c r="D553" s="8" t="str">
        <ns0:v>Rocket component</ns0:v>
      </ns0:c>
      <ns0:c r="E553" s="8" t="str">
        <ns0:v>Provides acceleration to settle propellant before an upper-stage engine start.</ns0:v>
      </ns0:c>
      <ns0:c r="F553" s="9" t="str">
        <ns0:f>HYPERLINK("https://physics.aimersociety.com/rocket-lab/parts/ullage-motor","https://physics.aimersociety.com/rocket-lab/parts/ullage-motor")</ns0:f>
        <ns0:v>https://physics.aimersociety.com/rocket-lab/parts/ullage-motor</ns0:v>
      </ns0:c>
      <ns0:c r="G553" s="8" t="str">
        <ns0:v>/rocket-lab/parts/ullage-motor</ns0:v>
      </ns0:c>
      <ns0:c r="H553" s="8" t="str">
        <ns0:v>src/data/rocketParts/index.ts</ns0:v>
      </ns0:c>
      <ns0:c r="I553" s="8" t="str"/>
    </ns0:row>
    <ns0:row r="554" ht="82" customHeight="1">
      <ns0:c r="A554" s="8" t="n">
        <ns0:v>548</ns0:v>
      </ns0:c>
      <ns0:c r="B554" s="8" t="str">
        <ns0:v>Access Panel</ns0:v>
      </ns0:c>
      <ns0:c r="C554" s="8" t="str">
        <ns0:v>Structural System / Structural</ns0:v>
      </ns0:c>
      <ns0:c r="D554" s="8" t="str">
        <ns0:v>Rocket component</ns0:v>
      </ns0:c>
      <ns0:c r="E554" s="8" t="str">
        <ns0:v>Allows technicians to inspect and service internal equipment.</ns0:v>
      </ns0:c>
      <ns0:c r="F554" s="9" t="str">
        <ns0:f>HYPERLINK("https://physics.aimersociety.com/rocket-lab/parts/access-panel","https://physics.aimersociety.com/rocket-lab/parts/access-panel")</ns0:f>
        <ns0:v>https://physics.aimersociety.com/rocket-lab/parts/access-panel</ns0:v>
      </ns0:c>
      <ns0:c r="G554" s="8" t="str">
        <ns0:v>/rocket-lab/parts/access-panel</ns0:v>
      </ns0:c>
      <ns0:c r="H554" s="8" t="str">
        <ns0:v>src/data/rocketParts/index.ts</ns0:v>
      </ns0:c>
      <ns0:c r="I554" s="8" t="str"/>
    </ns0:row>
    <ns0:row r="555" ht="82" customHeight="1">
      <ns0:c r="A555" s="8" t="n">
        <ns0:v>549</ns0:v>
      </ns0:c>
      <ns0:c r="B555" s="8" t="str">
        <ns0:v>Aft Skirt</ns0:v>
      </ns0:c>
      <ns0:c r="C555" s="8" t="str">
        <ns0:v>Structural System / Structural</ns0:v>
      </ns0:c>
      <ns0:c r="D555" s="8" t="str">
        <ns0:v>Rocket component</ns0:v>
      </ns0:c>
      <ns0:c r="E555" s="8" t="str">
        <ns0:v>Supports engines, fins, hold-down interfaces, and lower-stage equipment.</ns0:v>
      </ns0:c>
      <ns0:c r="F555" s="9" t="str">
        <ns0:f>HYPERLINK("https://physics.aimersociety.com/rocket-lab/parts/aft-skirt","https://physics.aimersociety.com/rocket-lab/parts/aft-skirt")</ns0:f>
        <ns0:v>https://physics.aimersociety.com/rocket-lab/parts/aft-skirt</ns0:v>
      </ns0:c>
      <ns0:c r="G555" s="8" t="str">
        <ns0:v>/rocket-lab/parts/aft-skirt</ns0:v>
      </ns0:c>
      <ns0:c r="H555" s="8" t="str">
        <ns0:v>src/data/rocketParts/index.ts</ns0:v>
      </ns0:c>
      <ns0:c r="I555" s="8" t="str"/>
    </ns0:row>
    <ns0:row r="556" ht="82" customHeight="1">
      <ns0:c r="A556" s="8" t="n">
        <ns0:v>550</ns0:v>
      </ns0:c>
      <ns0:c r="B556" s="8" t="str">
        <ns0:v>Airframe or Rocket Body</ns0:v>
      </ns0:c>
      <ns0:c r="C556" s="8" t="str">
        <ns0:v>Structural System / Structural</ns0:v>
      </ns0:c>
      <ns0:c r="D556" s="8" t="str">
        <ns0:v>Rocket component</ns0:v>
      </ns0:c>
      <ns0:c r="E556" s="8" t="str">
        <ns0:v>Forms the primary external structure and carries aerodynamic and inertial loads.</ns0:v>
      </ns0:c>
      <ns0:c r="F556" s="9" t="str">
        <ns0:f>HYPERLINK("https://physics.aimersociety.com/rocket-lab/parts/airframe-or-rocket-body","https://physics.aimersociety.com/rocket-lab/parts/airframe-or-rocket-body")</ns0:f>
        <ns0:v>https://physics.aimersociety.com/rocket-lab/parts/airframe-or-rocket-body</ns0:v>
      </ns0:c>
      <ns0:c r="G556" s="8" t="str">
        <ns0:v>/rocket-lab/parts/airframe-or-rocket-body</ns0:v>
      </ns0:c>
      <ns0:c r="H556" s="8" t="str">
        <ns0:v>src/data/rocketParts/index.ts</ns0:v>
      </ns0:c>
      <ns0:c r="I556" s="8" t="str"/>
    </ns0:row>
    <ns0:row r="557" ht="82" customHeight="1">
      <ns0:c r="A557" s="8" t="n">
        <ns0:v>551</ns0:v>
      </ns0:c>
      <ns0:c r="B557" s="8" t="str">
        <ns0:v>Bulkhead</ns0:v>
      </ns0:c>
      <ns0:c r="C557" s="8" t="str">
        <ns0:v>Structural System / Structural</ns0:v>
      </ns0:c>
      <ns0:c r="D557" s="8" t="str">
        <ns0:v>Rocket component</ns0:v>
      </ns0:c>
      <ns0:c r="E557" s="8" t="str">
        <ns0:v>Separates compartments and transfers structural or pressure loads.</ns0:v>
      </ns0:c>
      <ns0:c r="F557" s="9" t="str">
        <ns0:f>HYPERLINK("https://physics.aimersociety.com/rocket-lab/parts/bulkhead","https://physics.aimersociety.com/rocket-lab/parts/bulkhead")</ns0:f>
        <ns0:v>https://physics.aimersociety.com/rocket-lab/parts/bulkhead</ns0:v>
      </ns0:c>
      <ns0:c r="G557" s="8" t="str">
        <ns0:v>/rocket-lab/parts/bulkhead</ns0:v>
      </ns0:c>
      <ns0:c r="H557" s="8" t="str">
        <ns0:v>src/data/rocketParts/index.ts</ns0:v>
      </ns0:c>
      <ns0:c r="I557" s="8" t="str"/>
    </ns0:row>
    <ns0:row r="558" ht="82" customHeight="1">
      <ns0:c r="A558" s="8" t="n">
        <ns0:v>552</ns0:v>
      </ns0:c>
      <ns0:c r="B558" s="8" t="str">
        <ns0:v>Cable Tunnel</ns0:v>
      </ns0:c>
      <ns0:c r="C558" s="8" t="str">
        <ns0:v>Structural System / Structural</ns0:v>
      </ns0:c>
      <ns0:c r="D558" s="8" t="str">
        <ns0:v>Rocket component</ns0:v>
      </ns0:c>
      <ns0:c r="E558" s="8" t="str">
        <ns0:v>Routes electrical harnesses or fluid lines along the vehicle.</ns0:v>
      </ns0:c>
      <ns0:c r="F558" s="9" t="str">
        <ns0:f>HYPERLINK("https://physics.aimersociety.com/rocket-lab/parts/cable-tunnel","https://physics.aimersociety.com/rocket-lab/parts/cable-tunnel")</ns0:f>
        <ns0:v>https://physics.aimersociety.com/rocket-lab/parts/cable-tunnel</ns0:v>
      </ns0:c>
      <ns0:c r="G558" s="8" t="str">
        <ns0:v>/rocket-lab/parts/cable-tunnel</ns0:v>
      </ns0:c>
      <ns0:c r="H558" s="8" t="str">
        <ns0:v>src/data/rocketParts/index.ts</ns0:v>
      </ns0:c>
      <ns0:c r="I558" s="8" t="str"/>
    </ns0:row>
    <ns0:row r="559" ht="82" customHeight="1">
      <ns0:c r="A559" s="8" t="n">
        <ns0:v>553</ns0:v>
      </ns0:c>
      <ns0:c r="B559" s="8" t="str">
        <ns0:v>Common Bulkhead</ns0:v>
      </ns0:c>
      <ns0:c r="C559" s="8" t="str">
        <ns0:v>Structural System / Structural</ns0:v>
      </ns0:c>
      <ns0:c r="D559" s="8" t="str">
        <ns0:v>Rocket component</ns0:v>
      </ns0:c>
      <ns0:c r="E559" s="8" t="str">
        <ns0:v>Separates fuel and oxidizer tanks while reducing stage mass and length.</ns0:v>
      </ns0:c>
      <ns0:c r="F559" s="9" t="str">
        <ns0:f>HYPERLINK("https://physics.aimersociety.com/rocket-lab/parts/common-bulkhead","https://physics.aimersociety.com/rocket-lab/parts/common-bulkhead")</ns0:f>
        <ns0:v>https://physics.aimersociety.com/rocket-lab/parts/common-bulkhead</ns0:v>
      </ns0:c>
      <ns0:c r="G559" s="8" t="str">
        <ns0:v>/rocket-lab/parts/common-bulkhead</ns0:v>
      </ns0:c>
      <ns0:c r="H559" s="8" t="str">
        <ns0:v>src/data/rocketParts/index.ts</ns0:v>
      </ns0:c>
      <ns0:c r="I559" s="8" t="str"/>
    </ns0:row>
    <ns0:row r="560" ht="82" customHeight="1">
      <ns0:c r="A560" s="8" t="n">
        <ns0:v>554</ns0:v>
      </ns0:c>
      <ns0:c r="B560" s="8" t="str">
        <ns0:v>Cylindrical Barrel Section</ns0:v>
      </ns0:c>
      <ns0:c r="C560" s="8" t="str">
        <ns0:v>Structural System / Structural</ns0:v>
      </ns0:c>
      <ns0:c r="D560" s="8" t="str">
        <ns0:v>Rocket component</ns0:v>
      </ns0:c>
      <ns0:c r="E560" s="8" t="str">
        <ns0:v>Forms the main load-bearing cylindrical shell of a stage.</ns0:v>
      </ns0:c>
      <ns0:c r="F560" s="9" t="str">
        <ns0:f>HYPERLINK("https://physics.aimersociety.com/rocket-lab/parts/cylindrical-barrel-section","https://physics.aimersociety.com/rocket-lab/parts/cylindrical-barrel-section")</ns0:f>
        <ns0:v>https://physics.aimersociety.com/rocket-lab/parts/cylindrical-barrel-section</ns0:v>
      </ns0:c>
      <ns0:c r="G560" s="8" t="str">
        <ns0:v>/rocket-lab/parts/cylindrical-barrel-section</ns0:v>
      </ns0:c>
      <ns0:c r="H560" s="8" t="str">
        <ns0:v>src/data/rocketParts/index.ts</ns0:v>
      </ns0:c>
      <ns0:c r="I560" s="8" t="str"/>
    </ns0:row>
    <ns0:row r="561" ht="82" customHeight="1">
      <ns0:c r="A561" s="8" t="n">
        <ns0:v>555</ns0:v>
      </ns0:c>
      <ns0:c r="B561" s="8" t="str">
        <ns0:v>Engine Section</ns0:v>
      </ns0:c>
      <ns0:c r="C561" s="8" t="str">
        <ns0:v>Structural System / Structural</ns0:v>
      </ns0:c>
      <ns0:c r="D561" s="8" t="str">
        <ns0:v>Rocket component</ns0:v>
      </ns0:c>
      <ns0:c r="E561" s="8" t="str">
        <ns0:v>Houses engines, plumbing, actuators, structural mounts, and thermal protection.</ns0:v>
      </ns0:c>
      <ns0:c r="F561" s="9" t="str">
        <ns0:f>HYPERLINK("https://physics.aimersociety.com/rocket-lab/parts/engine-section","https://physics.aimersociety.com/rocket-lab/parts/engine-section")</ns0:f>
        <ns0:v>https://physics.aimersociety.com/rocket-lab/parts/engine-section</ns0:v>
      </ns0:c>
      <ns0:c r="G561" s="8" t="str">
        <ns0:v>/rocket-lab/parts/engine-section</ns0:v>
      </ns0:c>
      <ns0:c r="H561" s="8" t="str">
        <ns0:v>src/data/rocketParts/index.ts</ns0:v>
      </ns0:c>
      <ns0:c r="I561" s="8" t="str"/>
    </ns0:row>
    <ns0:row r="562" ht="82" customHeight="1">
      <ns0:c r="A562" s="8" t="n">
        <ns0:v>556</ns0:v>
      </ns0:c>
      <ns0:c r="B562" s="8" t="str">
        <ns0:v>Equipment Bay</ns0:v>
      </ns0:c>
      <ns0:c r="C562" s="8" t="str">
        <ns0:v>Structural System / Structural</ns0:v>
      </ns0:c>
      <ns0:c r="D562" s="8" t="str">
        <ns0:v>Rocket component</ns0:v>
      </ns0:c>
      <ns0:c r="E562" s="8" t="str">
        <ns0:v>Houses avionics, batteries, computers, communication equipment, and environmental-control hardware.</ns0:v>
      </ns0:c>
      <ns0:c r="F562" s="9" t="str">
        <ns0:f>HYPERLINK("https://physics.aimersociety.com/rocket-lab/parts/equipment-bay","https://physics.aimersociety.com/rocket-lab/parts/equipment-bay")</ns0:f>
        <ns0:v>https://physics.aimersociety.com/rocket-lab/parts/equipment-bay</ns0:v>
      </ns0:c>
      <ns0:c r="G562" s="8" t="str">
        <ns0:v>/rocket-lab/parts/equipment-bay</ns0:v>
      </ns0:c>
      <ns0:c r="H562" s="8" t="str">
        <ns0:v>src/data/rocketParts/index.ts</ns0:v>
      </ns0:c>
      <ns0:c r="I562" s="8" t="str"/>
    </ns0:row>
    <ns0:row r="563" ht="82" customHeight="1">
      <ns0:c r="A563" s="8" t="n">
        <ns0:v>557</ns0:v>
      </ns0:c>
      <ns0:c r="B563" s="8" t="str">
        <ns0:v>External Systems Tunnel</ns0:v>
      </ns0:c>
      <ns0:c r="C563" s="8" t="str">
        <ns0:v>Structural System / Structural</ns0:v>
      </ns0:c>
      <ns0:c r="D563" s="8" t="str">
        <ns0:v>Rocket component</ns0:v>
      </ns0:c>
      <ns0:c r="E563" s="8" t="str">
        <ns0:v>Protects plumbing, wiring, and instrumentation routed outside the primary tanks.</ns0:v>
      </ns0:c>
      <ns0:c r="F563" s="9" t="str">
        <ns0:f>HYPERLINK("https://physics.aimersociety.com/rocket-lab/parts/external-systems-tunnel","https://physics.aimersociety.com/rocket-lab/parts/external-systems-tunnel")</ns0:f>
        <ns0:v>https://physics.aimersociety.com/rocket-lab/parts/external-systems-tunnel</ns0:v>
      </ns0:c>
      <ns0:c r="G563" s="8" t="str">
        <ns0:v>/rocket-lab/parts/external-systems-tunnel</ns0:v>
      </ns0:c>
      <ns0:c r="H563" s="8" t="str">
        <ns0:v>src/data/rocketParts/index.ts</ns0:v>
      </ns0:c>
      <ns0:c r="I563" s="8" t="str"/>
    </ns0:row>
    <ns0:row r="564" ht="82" customHeight="1">
      <ns0:c r="A564" s="8" t="n">
        <ns0:v>558</ns0:v>
      </ns0:c>
      <ns0:c r="B564" s="8" t="str">
        <ns0:v>Forward Skirt</ns0:v>
      </ns0:c>
      <ns0:c r="C564" s="8" t="str">
        <ns0:v>Structural System / Structural</ns0:v>
      </ns0:c>
      <ns0:c r="D564" s="8" t="str">
        <ns0:v>Rocket component</ns0:v>
      </ns0:c>
      <ns0:c r="E564" s="8" t="str">
        <ns0:v>Supports upper vehicle interfaces and transfers loads into the tank or stage structure.</ns0:v>
      </ns0:c>
      <ns0:c r="F564" s="9" t="str">
        <ns0:f>HYPERLINK("https://physics.aimersociety.com/rocket-lab/parts/forward-skirt","https://physics.aimersociety.com/rocket-lab/parts/forward-skirt")</ns0:f>
        <ns0:v>https://physics.aimersociety.com/rocket-lab/parts/forward-skirt</ns0:v>
      </ns0:c>
      <ns0:c r="G564" s="8" t="str">
        <ns0:v>/rocket-lab/parts/forward-skirt</ns0:v>
      </ns0:c>
      <ns0:c r="H564" s="8" t="str">
        <ns0:v>src/data/rocketParts/index.ts</ns0:v>
      </ns0:c>
      <ns0:c r="I564" s="8" t="str"/>
    </ns0:row>
    <ns0:row r="565" ht="82" customHeight="1">
      <ns0:c r="A565" s="8" t="n">
        <ns0:v>559</ns0:v>
      </ns0:c>
      <ns0:c r="B565" s="8" t="str">
        <ns0:v>Hold-Down Fitting</ns0:v>
      </ns0:c>
      <ns0:c r="C565" s="8" t="str">
        <ns0:v>Structural System / Structural</ns0:v>
      </ns0:c>
      <ns0:c r="D565" s="8" t="str">
        <ns0:v>Rocket component</ns0:v>
      </ns0:c>
      <ns0:c r="E565" s="8" t="str">
        <ns0:v>Secures the rocket to the launch platform before release.</ns0:v>
      </ns0:c>
      <ns0:c r="F565" s="9" t="str">
        <ns0:f>HYPERLINK("https://physics.aimersociety.com/rocket-lab/parts/hold-down-fitting","https://physics.aimersociety.com/rocket-lab/parts/hold-down-fitting")</ns0:f>
        <ns0:v>https://physics.aimersociety.com/rocket-lab/parts/hold-down-fitting</ns0:v>
      </ns0:c>
      <ns0:c r="G565" s="8" t="str">
        <ns0:v>/rocket-lab/parts/hold-down-fitting</ns0:v>
      </ns0:c>
      <ns0:c r="H565" s="8" t="str">
        <ns0:v>src/data/rocketParts/index.ts</ns0:v>
      </ns0:c>
      <ns0:c r="I565" s="8" t="str"/>
    </ns0:row>
    <ns0:row r="566" ht="82" customHeight="1">
      <ns0:c r="A566" s="8" t="n">
        <ns0:v>560</ns0:v>
      </ns0:c>
      <ns0:c r="B566" s="8" t="str">
        <ns0:v>Interstage</ns0:v>
      </ns0:c>
      <ns0:c r="C566" s="8" t="str">
        <ns0:v>Structural System / Structural</ns0:v>
      </ns0:c>
      <ns0:c r="D566" s="8" t="str">
        <ns0:v>Rocket component</ns0:v>
      </ns0:c>
      <ns0:c r="E566" s="8" t="str">
        <ns0:v>Connects two stages and encloses stage-separation hardware or upper-stage engines.</ns0:v>
      </ns0:c>
      <ns0:c r="F566" s="9" t="str">
        <ns0:f>HYPERLINK("https://physics.aimersociety.com/rocket-lab/parts/interstage","https://physics.aimersociety.com/rocket-lab/parts/interstage")</ns0:f>
        <ns0:v>https://physics.aimersociety.com/rocket-lab/parts/interstage</ns0:v>
      </ns0:c>
      <ns0:c r="G566" s="8" t="str">
        <ns0:v>/rocket-lab/parts/interstage</ns0:v>
      </ns0:c>
      <ns0:c r="H566" s="8" t="str">
        <ns0:v>src/data/rocketParts/index.ts</ns0:v>
      </ns0:c>
      <ns0:c r="I566" s="8" t="str"/>
    </ns0:row>
    <ns0:row r="567" ht="82" customHeight="1">
      <ns0:c r="A567" s="8" t="n">
        <ns0:v>561</ns0:v>
      </ns0:c>
      <ns0:c r="B567" s="8" t="str">
        <ns0:v>Intertank</ns0:v>
      </ns0:c>
      <ns0:c r="C567" s="8" t="str">
        <ns0:v>Structural System / Structural</ns0:v>
      </ns0:c>
      <ns0:c r="D567" s="8" t="str">
        <ns0:v>Rocket component</ns0:v>
      </ns0:c>
      <ns0:c r="E567" s="8" t="str">
        <ns0:v>Structural section between major propellant tanks that can carry equipment and transfer loads.</ns0:v>
      </ns0:c>
      <ns0:c r="F567" s="9" t="str">
        <ns0:f>HYPERLINK("https://physics.aimersociety.com/rocket-lab/parts/intertank","https://physics.aimersociety.com/rocket-lab/parts/intertank")</ns0:f>
        <ns0:v>https://physics.aimersociety.com/rocket-lab/parts/intertank</ns0:v>
      </ns0:c>
      <ns0:c r="G567" s="8" t="str">
        <ns0:v>/rocket-lab/parts/intertank</ns0:v>
      </ns0:c>
      <ns0:c r="H567" s="8" t="str">
        <ns0:v>src/data/rocketParts/index.ts</ns0:v>
      </ns0:c>
      <ns0:c r="I567" s="8" t="str"/>
    </ns0:row>
    <ns0:row r="568" ht="82" customHeight="1">
      <ns0:c r="A568" s="8" t="n">
        <ns0:v>562</ns0:v>
      </ns0:c>
      <ns0:c r="B568" s="8" t="str">
        <ns0:v>Launch Lug or Rail Guide</ns0:v>
      </ns0:c>
      <ns0:c r="C568" s="8" t="str">
        <ns0:v>Structural System / Structural</ns0:v>
      </ns0:c>
      <ns0:c r="D568" s="8" t="str">
        <ns0:v>Rocket component</ns0:v>
      </ns0:c>
      <ns0:c r="E568" s="8" t="str">
        <ns0:v>Guides the rocket along the launch rail during the initial motion.</ns0:v>
      </ns0:c>
      <ns0:c r="F568" s="9" t="str">
        <ns0:f>HYPERLINK("https://physics.aimersociety.com/rocket-lab/parts/launch-lug-or-rail-guide","https://physics.aimersociety.com/rocket-lab/parts/launch-lug-or-rail-guide")</ns0:f>
        <ns0:v>https://physics.aimersociety.com/rocket-lab/parts/launch-lug-or-rail-guide</ns0:v>
      </ns0:c>
      <ns0:c r="G568" s="8" t="str">
        <ns0:v>/rocket-lab/parts/launch-lug-or-rail-guide</ns0:v>
      </ns0:c>
      <ns0:c r="H568" s="8" t="str">
        <ns0:v>src/data/rocketParts/index.ts</ns0:v>
      </ns0:c>
      <ns0:c r="I568" s="8" t="str"/>
    </ns0:row>
    <ns0:row r="569" ht="82" customHeight="1">
      <ns0:c r="A569" s="8" t="n">
        <ns0:v>563</ns0:v>
      </ns0:c>
      <ns0:c r="B569" s="8" t="str">
        <ns0:v>Lifting Lug</ns0:v>
      </ns0:c>
      <ns0:c r="C569" s="8" t="str">
        <ns0:v>Structural System / Structural</ns0:v>
      </ns0:c>
      <ns0:c r="D569" s="8" t="str">
        <ns0:v>Rocket component</ns0:v>
      </ns0:c>
      <ns0:c r="E569" s="8" t="str">
        <ns0:v>Provides certified attachment points for lifting and handling operations.</ns0:v>
      </ns0:c>
      <ns0:c r="F569" s="9" t="str">
        <ns0:f>HYPERLINK("https://physics.aimersociety.com/rocket-lab/parts/lifting-lug","https://physics.aimersociety.com/rocket-lab/parts/lifting-lug")</ns0:f>
        <ns0:v>https://physics.aimersociety.com/rocket-lab/parts/lifting-lug</ns0:v>
      </ns0:c>
      <ns0:c r="G569" s="8" t="str">
        <ns0:v>/rocket-lab/parts/lifting-lug</ns0:v>
      </ns0:c>
      <ns0:c r="H569" s="8" t="str">
        <ns0:v>src/data/rocketParts/index.ts</ns0:v>
      </ns0:c>
      <ns0:c r="I569" s="8" t="str"/>
    </ns0:row>
    <ns0:row r="570" ht="82" customHeight="1">
      <ns0:c r="A570" s="8" t="n">
        <ns0:v>564</ns0:v>
      </ns0:c>
      <ns0:c r="B570" s="8" t="str">
        <ns0:v>Nose Cone</ns0:v>
      </ns0:c>
      <ns0:c r="C570" s="8" t="str">
        <ns0:v>Structural System / Structural</ns0:v>
      </ns0:c>
      <ns0:c r="D570" s="8" t="str">
        <ns0:v>Rocket component</ns0:v>
      </ns0:c>
      <ns0:c r="E570" s="8" t="str">
        <ns0:v>Provides a low-drag aerodynamic forward shape on rockets without a conventional payload fairing.</ns0:v>
      </ns0:c>
      <ns0:c r="F570" s="9" t="str">
        <ns0:f>HYPERLINK("https://physics.aimersociety.com/rocket-lab/parts/nose-cone","https://physics.aimersociety.com/rocket-lab/parts/nose-cone")</ns0:f>
        <ns0:v>https://physics.aimersociety.com/rocket-lab/parts/nose-cone</ns0:v>
      </ns0:c>
      <ns0:c r="G570" s="8" t="str">
        <ns0:v>/rocket-lab/parts/nose-cone</ns0:v>
      </ns0:c>
      <ns0:c r="H570" s="8" t="str">
        <ns0:v>src/data/rocketParts/index.ts</ns0:v>
      </ns0:c>
      <ns0:c r="I570" s="8" t="str"/>
    </ns0:row>
    <ns0:row r="571" ht="82" customHeight="1">
      <ns0:c r="A571" s="8" t="n">
        <ns0:v>565</ns0:v>
      </ns0:c>
      <ns0:c r="B571" s="8" t="str">
        <ns0:v>Service Door</ns0:v>
      </ns0:c>
      <ns0:c r="C571" s="8" t="str">
        <ns0:v>Structural System / Structural</ns0:v>
      </ns0:c>
      <ns0:c r="D571" s="8" t="str">
        <ns0:v>Rocket component</ns0:v>
      </ns0:c>
      <ns0:c r="E571" s="8" t="str">
        <ns0:v>Provides controlled access to internal systems during integration and testing.</ns0:v>
      </ns0:c>
      <ns0:c r="F571" s="9" t="str">
        <ns0:f>HYPERLINK("https://physics.aimersociety.com/rocket-lab/parts/service-door","https://physics.aimersociety.com/rocket-lab/parts/service-door")</ns0:f>
        <ns0:v>https://physics.aimersociety.com/rocket-lab/parts/service-door</ns0:v>
      </ns0:c>
      <ns0:c r="G571" s="8" t="str">
        <ns0:v>/rocket-lab/parts/service-door</ns0:v>
      </ns0:c>
      <ns0:c r="H571" s="8" t="str">
        <ns0:v>src/data/rocketParts/index.ts</ns0:v>
      </ns0:c>
      <ns0:c r="I571" s="8" t="str"/>
    </ns0:row>
    <ns0:row r="572" ht="82" customHeight="1">
      <ns0:c r="A572" s="8" t="n">
        <ns0:v>566</ns0:v>
      </ns0:c>
      <ns0:c r="B572" s="8" t="str">
        <ns0:v>Stage Adapter</ns0:v>
      </ns0:c>
      <ns0:c r="C572" s="8" t="str">
        <ns0:v>Structural System / Structural</ns0:v>
      </ns0:c>
      <ns0:c r="D572" s="8" t="str">
        <ns0:v>Rocket component</ns0:v>
      </ns0:c>
      <ns0:c r="E572" s="8" t="str">
        <ns0:v>Connects stages or vehicle elements of different diameters or structural interfaces.</ns0:v>
      </ns0:c>
      <ns0:c r="F572" s="9" t="str">
        <ns0:f>HYPERLINK("https://physics.aimersociety.com/rocket-lab/parts/stage-adapter","https://physics.aimersociety.com/rocket-lab/parts/stage-adapter")</ns0:f>
        <ns0:v>https://physics.aimersociety.com/rocket-lab/parts/stage-adapter</ns0:v>
      </ns0:c>
      <ns0:c r="G572" s="8" t="str">
        <ns0:v>/rocket-lab/parts/stage-adapter</ns0:v>
      </ns0:c>
      <ns0:c r="H572" s="8" t="str">
        <ns0:v>src/data/rocketParts/index.ts</ns0:v>
      </ns0:c>
      <ns0:c r="I572" s="8" t="str"/>
    </ns0:row>
    <ns0:row r="573" ht="82" customHeight="1">
      <ns0:c r="A573" s="8" t="n">
        <ns0:v>567</ns0:v>
      </ns0:c>
      <ns0:c r="B573" s="8" t="str">
        <ns0:v>Stringer</ns0:v>
      </ns0:c>
      <ns0:c r="C573" s="8" t="str">
        <ns0:v>Structural System / Structural</ns0:v>
      </ns0:c>
      <ns0:c r="D573" s="8" t="str">
        <ns0:v>Rocket component</ns0:v>
      </ns0:c>
      <ns0:c r="E573" s="8" t="str">
        <ns0:v>Provides longitudinal reinforcement to thin airframe shells.</ns0:v>
      </ns0:c>
      <ns0:c r="F573" s="9" t="str">
        <ns0:f>HYPERLINK("https://physics.aimersociety.com/rocket-lab/parts/stringer","https://physics.aimersociety.com/rocket-lab/parts/stringer")</ns0:f>
        <ns0:v>https://physics.aimersociety.com/rocket-lab/parts/stringer</ns0:v>
      </ns0:c>
      <ns0:c r="G573" s="8" t="str">
        <ns0:v>/rocket-lab/parts/stringer</ns0:v>
      </ns0:c>
      <ns0:c r="H573" s="8" t="str">
        <ns0:v>src/data/rocketParts/index.ts</ns0:v>
      </ns0:c>
      <ns0:c r="I573" s="8" t="str"/>
    </ns0:row>
    <ns0:row r="574" ht="82" customHeight="1">
      <ns0:c r="A574" s="8" t="n">
        <ns0:v>568</ns0:v>
      </ns0:c>
      <ns0:c r="B574" s="8" t="str">
        <ns0:v>Structural Ring Frame</ns0:v>
      </ns0:c>
      <ns0:c r="C574" s="8" t="str">
        <ns0:v>Structural System / Structural</ns0:v>
      </ns0:c>
      <ns0:c r="D574" s="8" t="str">
        <ns0:v>Rocket component</ns0:v>
      </ns0:c>
      <ns0:c r="E574" s="8" t="str">
        <ns0:v>Reinforces the airframe and prevents local shell deformation.</ns0:v>
      </ns0:c>
      <ns0:c r="F574" s="9" t="str">
        <ns0:f>HYPERLINK("https://physics.aimersociety.com/rocket-lab/parts/structural-ring-frame","https://physics.aimersociety.com/rocket-lab/parts/structural-ring-frame")</ns0:f>
        <ns0:v>https://physics.aimersociety.com/rocket-lab/parts/structural-ring-frame</ns0:v>
      </ns0:c>
      <ns0:c r="G574" s="8" t="str">
        <ns0:v>/rocket-lab/parts/structural-ring-frame</ns0:v>
      </ns0:c>
      <ns0:c r="H574" s="8" t="str">
        <ns0:v>src/data/rocketParts/index.ts</ns0:v>
      </ns0:c>
      <ns0:c r="I574" s="8" t="str"/>
    </ns0:row>
    <ns0:row r="575" ht="82" customHeight="1">
      <ns0:c r="A575" s="8" t="n">
        <ns0:v>569</ns0:v>
      </ns0:c>
      <ns0:c r="B575" s="8" t="str">
        <ns0:v>Tank Dome</ns0:v>
      </ns0:c>
      <ns0:c r="C575" s="8" t="str">
        <ns0:v>Structural System / Structural</ns0:v>
      </ns0:c>
      <ns0:c r="D575" s="8" t="str">
        <ns0:v>Rocket component</ns0:v>
      </ns0:c>
      <ns0:c r="E575" s="8" t="str">
        <ns0:v>Closes the end of a propellant tank while efficiently carrying pressure loads.</ns0:v>
      </ns0:c>
      <ns0:c r="F575" s="9" t="str">
        <ns0:f>HYPERLINK("https://physics.aimersociety.com/rocket-lab/parts/tank-dome","https://physics.aimersociety.com/rocket-lab/parts/tank-dome")</ns0:f>
        <ns0:v>https://physics.aimersociety.com/rocket-lab/parts/tank-dome</ns0:v>
      </ns0:c>
      <ns0:c r="G575" s="8" t="str">
        <ns0:v>/rocket-lab/parts/tank-dome</ns0:v>
      </ns0:c>
      <ns0:c r="H575" s="8" t="str">
        <ns0:v>src/data/rocketParts/index.ts</ns0:v>
      </ns0:c>
      <ns0:c r="I575" s="8" t="str"/>
    </ns0:row>
    <ns0:row r="576" ht="82" customHeight="1">
      <ns0:c r="A576" s="8" t="n">
        <ns0:v>570</ns0:v>
      </ns0:c>
      <ns0:c r="B576" s="8" t="str">
        <ns0:v>Thrust Structure</ns0:v>
      </ns0:c>
      <ns0:c r="C576" s="8" t="str">
        <ns0:v>Structural System / Structural</ns0:v>
      </ns0:c>
      <ns0:c r="D576" s="8" t="str">
        <ns0:v>Rocket component</ns0:v>
      </ns0:c>
      <ns0:c r="E576" s="8" t="str">
        <ns0:v>Transfers engine thrust into the rocket airframe.</ns0:v>
      </ns0:c>
      <ns0:c r="F576" s="9" t="str">
        <ns0:f>HYPERLINK("https://physics.aimersociety.com/rocket-lab/parts/thrust-structure","https://physics.aimersociety.com/rocket-lab/parts/thrust-structure")</ns0:f>
        <ns0:v>https://physics.aimersociety.com/rocket-lab/parts/thrust-structure</ns0:v>
      </ns0:c>
      <ns0:c r="G576" s="8" t="str">
        <ns0:v>/rocket-lab/parts/thrust-structure</ns0:v>
      </ns0:c>
      <ns0:c r="H576" s="8" t="str">
        <ns0:v>src/data/rocketParts/index.ts</ns0:v>
      </ns0:c>
      <ns0:c r="I576" s="8" t="str"/>
    </ns0:row>
    <ns0:row r="577" ht="82" customHeight="1">
      <ns0:c r="A577" s="8" t="n">
        <ns0:v>571</ns0:v>
      </ns0:c>
      <ns0:c r="B577" s="8" t="str">
        <ns0:v>Transportation Support Interface</ns0:v>
      </ns0:c>
      <ns0:c r="C577" s="8" t="str">
        <ns0:v>Structural System / Structural</ns0:v>
      </ns0:c>
      <ns0:c r="D577" s="8" t="str">
        <ns0:v>Rocket component</ns0:v>
      </ns0:c>
      <ns0:c r="E577" s="8" t="str">
        <ns0:v>Connects the stage to transport and ground-handling equipment.</ns0:v>
      </ns0:c>
      <ns0:c r="F577" s="9" t="str">
        <ns0:f>HYPERLINK("https://physics.aimersociety.com/rocket-lab/parts/transportation-support-interface","https://physics.aimersociety.com/rocket-lab/parts/transportation-support-interface")</ns0:f>
        <ns0:v>https://physics.aimersociety.com/rocket-lab/parts/transportation-support-interface</ns0:v>
      </ns0:c>
      <ns0:c r="G577" s="8" t="str">
        <ns0:v>/rocket-lab/parts/transportation-support-interface</ns0:v>
      </ns0:c>
      <ns0:c r="H577" s="8" t="str">
        <ns0:v>src/data/rocketParts/index.ts</ns0:v>
      </ns0:c>
      <ns0:c r="I577" s="8" t="str"/>
    </ns0:row>
    <ns0:row r="578" ht="82" customHeight="1">
      <ns0:c r="A578" s="8" t="n">
        <ns0:v>572</ns0:v>
      </ns0:c>
      <ns0:c r="B578" s="8" t="str">
        <ns0:v>Acoustic Protection</ns0:v>
      </ns0:c>
      <ns0:c r="C578" s="8" t="str">
        <ns0:v>Thermal Protection / Thermal Protection</ns0:v>
      </ns0:c>
      <ns0:c r="D578" s="8" t="str">
        <ns0:v>Rocket component</ns0:v>
      </ns0:c>
      <ns0:c r="E578" s="8" t="str">
        <ns0:v>Reduces damaging acoustic energy reaching sensitive payloads or equipment.</ns0:v>
      </ns0:c>
      <ns0:c r="F578" s="9" t="str">
        <ns0:f>HYPERLINK("https://physics.aimersociety.com/rocket-lab/parts/acoustic-protection","https://physics.aimersociety.com/rocket-lab/parts/acoustic-protection")</ns0:f>
        <ns0:v>https://physics.aimersociety.com/rocket-lab/parts/acoustic-protection</ns0:v>
      </ns0:c>
      <ns0:c r="G578" s="8" t="str">
        <ns0:v>/rocket-lab/parts/acoustic-protection</ns0:v>
      </ns0:c>
      <ns0:c r="H578" s="8" t="str">
        <ns0:v>src/data/rocketParts/index.ts</ns0:v>
      </ns0:c>
      <ns0:c r="I578" s="8" t="str"/>
    </ns0:row>
    <ns0:row r="579" ht="82" customHeight="1">
      <ns0:c r="A579" s="8" t="n">
        <ns0:v>573</ns0:v>
      </ns0:c>
      <ns0:c r="B579" s="8" t="str">
        <ns0:v>Engine Heat Shield</ns0:v>
      </ns0:c>
      <ns0:c r="C579" s="8" t="str">
        <ns0:v>Thermal Protection / Thermal Protection</ns0:v>
      </ns0:c>
      <ns0:c r="D579" s="8" t="str">
        <ns0:v>Rocket component</ns0:v>
      </ns0:c>
      <ns0:c r="E579" s="8" t="str">
        <ns0:v>Protects nearby equipment from engine-generated heat.</ns0:v>
      </ns0:c>
      <ns0:c r="F579" s="9" t="str">
        <ns0:f>HYPERLINK("https://physics.aimersociety.com/rocket-lab/parts/engine-heat-shield","https://physics.aimersociety.com/rocket-lab/parts/engine-heat-shield")</ns0:f>
        <ns0:v>https://physics.aimersociety.com/rocket-lab/parts/engine-heat-shield</ns0:v>
      </ns0:c>
      <ns0:c r="G579" s="8" t="str">
        <ns0:v>/rocket-lab/parts/engine-heat-shield</ns0:v>
      </ns0:c>
      <ns0:c r="H579" s="8" t="str">
        <ns0:v>src/data/rocketParts/index.ts</ns0:v>
      </ns0:c>
      <ns0:c r="I579" s="8" t="str"/>
    </ns0:row>
    <ns0:row r="580" ht="82" customHeight="1">
      <ns0:c r="A580" s="8" t="n">
        <ns0:v>574</ns0:v>
      </ns0:c>
      <ns0:c r="B580" s="8" t="str">
        <ns0:v>Environmental-Control Duct</ns0:v>
      </ns0:c>
      <ns0:c r="C580" s="8" t="str">
        <ns0:v>Thermal Protection / Thermal Protection</ns0:v>
      </ns0:c>
      <ns0:c r="D580" s="8" t="str">
        <ns0:v>Rocket component</ns0:v>
      </ns0:c>
      <ns0:c r="E580" s="8" t="str">
        <ns0:v>Delivers conditioned air or gas before launch.</ns0:v>
      </ns0:c>
      <ns0:c r="F580" s="9" t="str">
        <ns0:f>HYPERLINK("https://physics.aimersociety.com/rocket-lab/parts/environmental-control-duct","https://physics.aimersociety.com/rocket-lab/parts/environmental-control-duct")</ns0:f>
        <ns0:v>https://physics.aimersociety.com/rocket-lab/parts/environmental-control-duct</ns0:v>
      </ns0:c>
      <ns0:c r="G580" s="8" t="str">
        <ns0:v>/rocket-lab/parts/environmental-control-duct</ns0:v>
      </ns0:c>
      <ns0:c r="H580" s="8" t="str">
        <ns0:v>src/data/rocketParts/index.ts</ns0:v>
      </ns0:c>
      <ns0:c r="I580" s="8" t="str"/>
    </ns0:row>
    <ns0:row r="581" ht="82" customHeight="1">
      <ns0:c r="A581" s="8" t="n">
        <ns0:v>575</ns0:v>
      </ns0:c>
      <ns0:c r="B581" s="8" t="str">
        <ns0:v>External Foam Insulation</ns0:v>
      </ns0:c>
      <ns0:c r="C581" s="8" t="str">
        <ns0:v>Thermal Protection / Thermal Protection</ns0:v>
      </ns0:c>
      <ns0:c r="D581" s="8" t="str">
        <ns0:v>Rocket component</ns0:v>
      </ns0:c>
      <ns0:c r="E581" s="8" t="str">
        <ns0:v>Reduces heat transfer into cryogenic propellants.</ns0:v>
      </ns0:c>
      <ns0:c r="F581" s="9" t="str">
        <ns0:f>HYPERLINK("https://physics.aimersociety.com/rocket-lab/parts/external-foam-insulation","https://physics.aimersociety.com/rocket-lab/parts/external-foam-insulation")</ns0:f>
        <ns0:v>https://physics.aimersociety.com/rocket-lab/parts/external-foam-insulation</ns0:v>
      </ns0:c>
      <ns0:c r="G581" s="8" t="str">
        <ns0:v>/rocket-lab/parts/external-foam-insulation</ns0:v>
      </ns0:c>
      <ns0:c r="H581" s="8" t="str">
        <ns0:v>src/data/rocketParts/index.ts</ns0:v>
      </ns0:c>
      <ns0:c r="I581" s="8" t="str"/>
    </ns0:row>
    <ns0:row r="582" ht="82" customHeight="1">
      <ns0:c r="A582" s="8" t="n">
        <ns0:v>576</ns0:v>
      </ns0:c>
      <ns0:c r="B582" s="8" t="str">
        <ns0:v>Fire Barrier</ns0:v>
      </ns0:c>
      <ns0:c r="C582" s="8" t="str">
        <ns0:v>Thermal Protection / Thermal Protection</ns0:v>
      </ns0:c>
      <ns0:c r="D582" s="8" t="str">
        <ns0:v>Rocket component</ns0:v>
      </ns0:c>
      <ns0:c r="E582" s="8" t="str">
        <ns0:v>Limits the spread of heat, flame, or hot gases between compartments.</ns0:v>
      </ns0:c>
      <ns0:c r="F582" s="9" t="str">
        <ns0:f>HYPERLINK("https://physics.aimersociety.com/rocket-lab/parts/fire-barrier","https://physics.aimersociety.com/rocket-lab/parts/fire-barrier")</ns0:f>
        <ns0:v>https://physics.aimersociety.com/rocket-lab/parts/fire-barrier</ns0:v>
      </ns0:c>
      <ns0:c r="G582" s="8" t="str">
        <ns0:v>/rocket-lab/parts/fire-barrier</ns0:v>
      </ns0:c>
      <ns0:c r="H582" s="8" t="str">
        <ns0:v>src/data/rocketParts/index.ts</ns0:v>
      </ns0:c>
      <ns0:c r="I582" s="8" t="str"/>
    </ns0:row>
    <ns0:row r="583" ht="82" customHeight="1">
      <ns0:c r="A583" s="8" t="n">
        <ns0:v>577</ns0:v>
      </ns0:c>
      <ns0:c r="B583" s="8" t="str">
        <ns0:v>Heat Shield</ns0:v>
      </ns0:c>
      <ns0:c r="C583" s="8" t="str">
        <ns0:v>Thermal Protection / Thermal Protection</ns0:v>
      </ns0:c>
      <ns0:c r="D583" s="8" t="str">
        <ns0:v>Rocket component</ns0:v>
      </ns0:c>
      <ns0:c r="E583" s="8" t="str">
        <ns0:v>Protects sensitive structures from high thermal loads.</ns0:v>
      </ns0:c>
      <ns0:c r="F583" s="9" t="str">
        <ns0:f>HYPERLINK("https://physics.aimersociety.com/rocket-lab/parts/heat-shield","https://physics.aimersociety.com/rocket-lab/parts/heat-shield")</ns0:f>
        <ns0:v>https://physics.aimersociety.com/rocket-lab/parts/heat-shield</ns0:v>
      </ns0:c>
      <ns0:c r="G583" s="8" t="str">
        <ns0:v>/rocket-lab/parts/heat-shield</ns0:v>
      </ns0:c>
      <ns0:c r="H583" s="8" t="str">
        <ns0:v>src/data/rocketParts/index.ts</ns0:v>
      </ns0:c>
      <ns0:c r="I583" s="8" t="str"/>
    </ns0:row>
    <ns0:row r="584" ht="82" customHeight="1">
      <ns0:c r="A584" s="8" t="n">
        <ns0:v>578</ns0:v>
      </ns0:c>
      <ns0:c r="B584" s="8" t="str">
        <ns0:v>Moisture Barrier</ns0:v>
      </ns0:c>
      <ns0:c r="C584" s="8" t="str">
        <ns0:v>Thermal Protection / Thermal Protection</ns0:v>
      </ns0:c>
      <ns0:c r="D584" s="8" t="str">
        <ns0:v>Rocket component</ns0:v>
      </ns0:c>
      <ns0:c r="E584" s="8" t="str">
        <ns0:v>Protects hardware from condensation or environmental exposure.</ns0:v>
      </ns0:c>
      <ns0:c r="F584" s="9" t="str">
        <ns0:f>HYPERLINK("https://physics.aimersociety.com/rocket-lab/parts/moisture-barrier","https://physics.aimersociety.com/rocket-lab/parts/moisture-barrier")</ns0:f>
        <ns0:v>https://physics.aimersociety.com/rocket-lab/parts/moisture-barrier</ns0:v>
      </ns0:c>
      <ns0:c r="G584" s="8" t="str">
        <ns0:v>/rocket-lab/parts/moisture-barrier</ns0:v>
      </ns0:c>
      <ns0:c r="H584" s="8" t="str">
        <ns0:v>src/data/rocketParts/index.ts</ns0:v>
      </ns0:c>
      <ns0:c r="I584" s="8" t="str"/>
    </ns0:row>
    <ns0:row r="585" ht="82" customHeight="1">
      <ns0:c r="A585" s="8" t="n">
        <ns0:v>579</ns0:v>
      </ns0:c>
      <ns0:c r="B585" s="8" t="str">
        <ns0:v>Purge Line</ns0:v>
      </ns0:c>
      <ns0:c r="C585" s="8" t="str">
        <ns0:v>Thermal Protection / Thermal Protection</ns0:v>
      </ns0:c>
      <ns0:c r="D585" s="8" t="str">
        <ns0:v>Rocket component</ns0:v>
      </ns0:c>
      <ns0:c r="E585" s="8" t="str">
        <ns0:v>Supplies clean or inert gas to protected spaces.</ns0:v>
      </ns0:c>
      <ns0:c r="F585" s="9" t="str">
        <ns0:f>HYPERLINK("https://physics.aimersociety.com/rocket-lab/parts/purge-line","https://physics.aimersociety.com/rocket-lab/parts/purge-line")</ns0:f>
        <ns0:v>https://physics.aimersociety.com/rocket-lab/parts/purge-line</ns0:v>
      </ns0:c>
      <ns0:c r="G585" s="8" t="str">
        <ns0:v>/rocket-lab/parts/purge-line</ns0:v>
      </ns0:c>
      <ns0:c r="H585" s="8" t="str">
        <ns0:v>src/data/rocketParts/index.ts</ns0:v>
      </ns0:c>
      <ns0:c r="I585" s="8" t="str"/>
    </ns0:row>
    <ns0:row r="586" ht="82" customHeight="1">
      <ns0:c r="A586" s="8" t="n">
        <ns0:v>580</ns0:v>
      </ns0:c>
      <ns0:c r="B586" s="8" t="str">
        <ns0:v>Thermal Blanket</ns0:v>
      </ns0:c>
      <ns0:c r="C586" s="8" t="str">
        <ns0:v>Thermal Protection / Thermal Protection</ns0:v>
      </ns0:c>
      <ns0:c r="D586" s="8" t="str">
        <ns0:v>Rocket component</ns0:v>
      </ns0:c>
      <ns0:c r="E586" s="8" t="str">
        <ns0:v>Limits heat exchange between equipment and its environment.</ns0:v>
      </ns0:c>
      <ns0:c r="F586" s="9" t="str">
        <ns0:f>HYPERLINK("https://physics.aimersociety.com/rocket-lab/parts/thermal-blanket","https://physics.aimersociety.com/rocket-lab/parts/thermal-blanket")</ns0:f>
        <ns0:v>https://physics.aimersociety.com/rocket-lab/parts/thermal-blanket</ns0:v>
      </ns0:c>
      <ns0:c r="G586" s="8" t="str">
        <ns0:v>/rocket-lab/parts/thermal-blanket</ns0:v>
      </ns0:c>
      <ns0:c r="H586" s="8" t="str">
        <ns0:v>src/data/rocketParts/index.ts</ns0:v>
      </ns0:c>
      <ns0:c r="I586" s="8" t="str"/>
    </ns0:row>
    <ns0:row r="587" ht="82" customHeight="1">
      <ns0:c r="A587" s="8" t="n">
        <ns0:v>581</ns0:v>
      </ns0:c>
      <ns0:c r="B587" s="8" t="str">
        <ns0:v>Thermal Protection System</ns0:v>
      </ns0:c>
      <ns0:c r="C587" s="8" t="str">
        <ns0:v>Thermal Protection / Thermal Protection</ns0:v>
      </ns0:c>
      <ns0:c r="D587" s="8" t="str">
        <ns0:v>Rocket component</ns0:v>
      </ns0:c>
      <ns0:c r="E587" s="8" t="str">
        <ns0:v>Protects structures and equipment from aerodynamic, radiant, conductive, or plume heating.</ns0:v>
      </ns0:c>
      <ns0:c r="F587" s="9" t="str">
        <ns0:f>HYPERLINK("https://physics.aimersociety.com/rocket-lab/parts/thermal-protection-system","https://physics.aimersociety.com/rocket-lab/parts/thermal-protection-system")</ns0:f>
        <ns0:v>https://physics.aimersociety.com/rocket-lab/parts/thermal-protection-system</ns0:v>
      </ns0:c>
      <ns0:c r="G587" s="8" t="str">
        <ns0:v>/rocket-lab/parts/thermal-protection-system</ns0:v>
      </ns0:c>
      <ns0:c r="H587" s="8" t="str">
        <ns0:v>src/data/rocketParts/index.ts</ns0:v>
      </ns0:c>
      <ns0:c r="I587" s="8" t="str"/>
    </ns0:row>
    <ns0:row r="588" ht="82" customHeight="1">
      <ns0:c r="A588" s="8" t="n">
        <ns0:v>582</ns0:v>
      </ns0:c>
      <ns0:c r="B588" s="8" t="str">
        <ns0:v>Learning Studio</ns0:v>
      </ns0:c>
      <ns0:c r="C588" s="8" t="str">
        <ns0:v>Learning Design</ns0:v>
      </ns0:c>
      <ns0:c r="D588" s="8" t="str">
        <ns0:v>Teaching</ns0:v>
      </ns0:c>
      <ns0:c r="E588" s="8" t="str">
        <ns0:v>Guided lesson and misconception design.</ns0:v>
      </ns0:c>
      <ns0:c r="F588" s="9" t="str">
        <ns0:f>HYPERLINK("https://physics.aimersociety.com/learning-studio","https://physics.aimersociety.com/learning-studio")</ns0:f>
        <ns0:v>https://physics.aimersociety.com/learning-studio</ns0:v>
      </ns0:c>
      <ns0:c r="G588" s="8" t="str">
        <ns0:v>/learning-studio</ns0:v>
      </ns0:c>
      <ns0:c r="H588" s="8" t="str">
        <ns0:v>src/lib/appDirectory.ts</ns0:v>
      </ns0:c>
      <ns0:c r="I588" s="8" t="str"/>
    </ns0:row>
    <ns0:row r="589" ht="82" customHeight="1">
      <ns0:c r="A589" s="8" t="n">
        <ns0:v>583</ns0:v>
      </ns0:c>
      <ns0:c r="B589" s="8" t="str">
        <ns0:v>Classroom Deployment</ns0:v>
      </ns0:c>
      <ns0:c r="C589" s="8" t="str">
        <ns0:v>Operations</ns0:v>
      </ns0:c>
      <ns0:c r="D589" s="8" t="str">
        <ns0:v>Teaching</ns0:v>
      </ns0:c>
      <ns0:c r="E589" s="8" t="str">
        <ns0:v>Assignment rollout and evidence.</ns0:v>
      </ns0:c>
      <ns0:c r="F589" s="9" t="str">
        <ns0:f>HYPERLINK("https://physics.aimersociety.com/classroom-deployment","https://physics.aimersociety.com/classroom-deployment")</ns0:f>
        <ns0:v>https://physics.aimersociety.com/classroom-deployment</ns0:v>
      </ns0:c>
      <ns0:c r="G589" s="8" t="str">
        <ns0:v>/classroom-deployment</ns0:v>
      </ns0:c>
      <ns0:c r="H589" s="8" t="str">
        <ns0:v>src/lib/appDirectory.ts</ns0:v>
      </ns0:c>
      <ns0:c r="I589" s="8" t="str"/>
    </ns0:row>
    <ns0:row r="590" ht="82" customHeight="1">
      <ns0:c r="A590" s="8" t="n">
        <ns0:v>584</ns0:v>
      </ns0:c>
      <ns0:c r="B590" s="8" t="str">
        <ns0:v>LMS Configuration</ns0:v>
      </ns0:c>
      <ns0:c r="C590" s="8" t="str">
        <ns0:v>Teaching</ns0:v>
      </ns0:c>
      <ns0:c r="D590" s="8" t="str">
        <ns0:v>Teaching</ns0:v>
      </ns0:c>
      <ns0:c r="E590" s="8" t="str">
        <ns0:v>Learning-platform integration settings.</ns0:v>
      </ns0:c>
      <ns0:c r="F590" s="9" t="str">
        <ns0:f>HYPERLINK("https://physics.aimersociety.com/lms-config","https://physics.aimersociety.com/lms-config")</ns0:f>
        <ns0:v>https://physics.aimersociety.com/lms-config</ns0:v>
      </ns0:c>
      <ns0:c r="G590" s="8" t="str">
        <ns0:v>/lms-config</ns0:v>
      </ns0:c>
      <ns0:c r="H590" s="8" t="str">
        <ns0:v>src/lib/appDirectory.ts</ns0:v>
      </ns0:c>
      <ns0:c r="I590" s="8" t="str"/>
    </ns0:row>
    <ns0:row r="591" ht="82" customHeight="1">
      <ns0:c r="A591" s="8" t="n">
        <ns0:v>585</ns0:v>
      </ns0:c>
      <ns0:c r="B591" s="8" t="str">
        <ns0:v>Accessibility Center</ns0:v>
      </ns0:c>
      <ns0:c r="C591" s="8" t="str">
        <ns0:v>Trust &amp; Quality</ns0:v>
      </ns0:c>
      <ns0:c r="D591" s="8" t="str">
        <ns0:v>Teaching</ns0:v>
      </ns0:c>
      <ns0:c r="E591" s="8" t="str">
        <ns0:v>Inclusive experience audit.</ns0:v>
      </ns0:c>
      <ns0:c r="F591" s="9" t="str">
        <ns0:f>HYPERLINK("https://physics.aimersociety.com/accessibility-center","https://physics.aimersociety.com/accessibility-center")</ns0:f>
        <ns0:v>https://physics.aimersociety.com/accessibility-center</ns0:v>
      </ns0:c>
      <ns0:c r="G591" s="8" t="str">
        <ns0:v>/accessibility-center</ns0:v>
      </ns0:c>
      <ns0:c r="H591" s="8" t="str">
        <ns0:v>src/lib/appDirectory.ts</ns0:v>
      </ns0:c>
      <ns0:c r="I591" s="8" t="str"/>
    </ns0:row>
    <ns0:row r="592" ht="82" customHeight="1">
      <ns0:c r="A592" s="8" t="n">
        <ns0:v>586</ns0:v>
      </ns0:c>
      <ns0:c r="B592" s="8" t="str">
        <ns0:v>Accuracy Center</ns0:v>
      </ns0:c>
      <ns0:c r="C592" s="8" t="str">
        <ns0:v>Trust &amp; Quality</ns0:v>
      </ns0:c>
      <ns0:c r="D592" s="8" t="str">
        <ns0:v>Teaching</ns0:v>
      </ns0:c>
      <ns0:c r="E592" s="8" t="str">
        <ns0:v>Validated benchmark evidence.</ns0:v>
      </ns0:c>
      <ns0:c r="F592" s="9" t="str">
        <ns0:f>HYPERLINK("https://physics.aimersociety.com/accuracy-center","https://physics.aimersociety.com/accuracy-center")</ns0:f>
        <ns0:v>https://physics.aimersociety.com/accuracy-center</ns0:v>
      </ns0:c>
      <ns0:c r="G592" s="8" t="str">
        <ns0:v>/accuracy-center</ns0:v>
      </ns0:c>
      <ns0:c r="H592" s="8" t="str">
        <ns0:v>src/lib/appDirectory.ts</ns0:v>
      </ns0:c>
      <ns0:c r="I592" s="8" t="str"/>
    </ns0:row>
    <ns0:row r="593" ht="82" customHeight="1">
      <ns0:c r="A593" s="8" t="n">
        <ns0:v>587</ns0:v>
      </ns0:c>
      <ns0:c r="B593" s="8" t="str">
        <ns0:v>Quality Audit</ns0:v>
      </ns0:c>
      <ns0:c r="C593" s="8" t="str">
        <ns0:v>Trust &amp; Quality</ns0:v>
      </ns0:c>
      <ns0:c r="D593" s="8" t="str">
        <ns0:v>Teaching</ns0:v>
      </ns0:c>
      <ns0:c r="E593" s="8" t="str">
        <ns0:v>Simulation-quality baseline.</ns0:v>
      </ns0:c>
      <ns0:c r="F593" s="9" t="str">
        <ns0:f>HYPERLINK("https://physics.aimersociety.com/quality-audit","https://physics.aimersociety.com/quality-audit")</ns0:f>
        <ns0:v>https://physics.aimersociety.com/quality-audit</ns0:v>
      </ns0:c>
      <ns0:c r="G593" s="8" t="str">
        <ns0:v>/quality-audit</ns0:v>
      </ns0:c>
      <ns0:c r="H593" s="8" t="str">
        <ns0:v>src/lib/appDirectory.ts</ns0:v>
      </ns0:c>
      <ns0:c r="I593" s="8" t="str"/>
    </ns0:row>
    <ns0:row r="594" ht="82" customHeight="1">
      <ns0:c r="A594" s="8" t="n">
        <ns0:v>588</ns0:v>
      </ns0:c>
      <ns0:c r="B594" s="8" t="str">
        <ns0:v>Release Governance</ns0:v>
      </ns0:c>
      <ns0:c r="C594" s="8" t="str">
        <ns0:v>Trust &amp; Quality</ns0:v>
      </ns0:c>
      <ns0:c r="D594" s="8" t="str">
        <ns0:v>Teaching</ns0:v>
      </ns0:c>
      <ns0:c r="E594" s="8" t="str">
        <ns0:v>Scientific review and publishing gate.</ns0:v>
      </ns0:c>
      <ns0:c r="F594" s="9" t="str">
        <ns0:f>HYPERLINK("https://physics.aimersociety.com/release-governance","https://physics.aimersociety.com/release-governance")</ns0:f>
        <ns0:v>https://physics.aimersociety.com/release-governance</ns0:v>
      </ns0:c>
      <ns0:c r="G594" s="8" t="str">
        <ns0:v>/release-governance</ns0:v>
      </ns0:c>
      <ns0:c r="H594" s="8" t="str">
        <ns0:v>src/lib/appDirectory.ts</ns0:v>
      </ns0:c>
      <ns0:c r="I594" s="8" t="str"/>
    </ns0:row>
    <ns0:row r="595" ht="82" customHeight="1">
      <ns0:c r="A595" s="8" t="n">
        <ns0:v>589</ns0:v>
      </ns0:c>
      <ns0:c r="B595" s="8" t="str">
        <ns0:v>Astrophysics</ns0:v>
      </ns0:c>
      <ns0:c r="C595" s="8" t="str">
        <ns0:v>Astrophysics</ns0:v>
      </ns0:c>
      <ns0:c r="D595" s="8" t="str">
        <ns0:v>Topic hub</ns0:v>
      </ns0:c>
      <ns0:c r="E595" s="8" t="str">
        <ns0:v>Browse astrophysics concepts and related experiments.</ns0:v>
      </ns0:c>
      <ns0:c r="F595" s="9" t="str">
        <ns0:f>HYPERLINK("https://physics.aimersociety.com/topics/astrophysics","https://physics.aimersociety.com/topics/astrophysics")</ns0:f>
        <ns0:v>https://physics.aimersociety.com/topics/astrophysics</ns0:v>
      </ns0:c>
      <ns0:c r="G595" s="8" t="str">
        <ns0:v>/topics/astrophysics</ns0:v>
      </ns0:c>
      <ns0:c r="H595" s="8" t="str">
        <ns0:v>src/App.tsx</ns0:v>
      </ns0:c>
      <ns0:c r="I595" s="8" t="str"/>
    </ns0:row>
  </ns0:sheetData>
  <ns0:pageMargins left="0.7" right="0.7" top="0.75" bottom="0.75" header="0.3" footer="0.3"/>
  <ns0:tableParts count="1">
    <ns0:tablePart ns1:id="R5ca5f6ab29414e16"/>
  </ns0:tableParts>
</ns0:worksheet>
</file>